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ntunan" sheetId="1" r:id="rId4"/>
    <sheet state="visible" name="Penerimaan" sheetId="2" r:id="rId5"/>
    <sheet state="visible" name="Pengeluaran" sheetId="3" r:id="rId6"/>
    <sheet state="visible" name="Bukti_Transfer" sheetId="4" r:id="rId7"/>
    <sheet state="visible" name="Donatur" sheetId="5" r:id="rId8"/>
    <sheet state="visible" name="Survey" sheetId="6" r:id="rId9"/>
    <sheet state="visible" name="Laporan" sheetId="7" r:id="rId10"/>
  </sheets>
  <definedNames>
    <definedName hidden="1" localSheetId="1" name="_xlnm._FilterDatabase">Penerimaan!$B$9:$U$99</definedName>
    <definedName hidden="1" localSheetId="2" name="_xlnm._FilterDatabase">Pengeluaran!$B$8:$S$13</definedName>
    <definedName hidden="1" localSheetId="4" name="_xlnm._FilterDatabase">Donatur!$B$3:$D$94</definedName>
  </definedNames>
  <calcPr/>
  <extLst>
    <ext uri="GoogleSheetsCustomDataVersion2">
      <go:sheetsCustomData xmlns:go="http://customooxmlschemas.google.com/" r:id="rId11" roundtripDataChecksum="Hx3M+AoMKrHlHR0MRM4xWM0k4d9dM0/MdE74B9B74iY="/>
    </ext>
  </extLst>
</workbook>
</file>

<file path=xl/sharedStrings.xml><?xml version="1.0" encoding="utf-8"?>
<sst xmlns="http://schemas.openxmlformats.org/spreadsheetml/2006/main" count="841" uniqueCount="389">
  <si>
    <t>Date</t>
  </si>
  <si>
    <t>No</t>
  </si>
  <si>
    <t>Nama Anak</t>
  </si>
  <si>
    <t>Proposal Santunan</t>
  </si>
  <si>
    <t>Keterangan</t>
  </si>
  <si>
    <t>Alm Keluarga George Leonard Dale</t>
  </si>
  <si>
    <t>1 anak perempuan, Kelas 1 SMA</t>
  </si>
  <si>
    <t>Pekerjaan Ibu : Bantu cuci setrika</t>
  </si>
  <si>
    <t>Jessika</t>
  </si>
  <si>
    <t>Kelas 1 SMA</t>
  </si>
  <si>
    <t>Alm Keluarga Tuwo</t>
  </si>
  <si>
    <t>2 anak</t>
  </si>
  <si>
    <t>Pekerjaan Ibu : Belum ada</t>
  </si>
  <si>
    <t>Rencana usaha snack</t>
  </si>
  <si>
    <t>Salmaan (15 tahun)</t>
  </si>
  <si>
    <t>Sekolah di Pondok (menginap)</t>
  </si>
  <si>
    <t>Kariimah (13 tahun)</t>
  </si>
  <si>
    <t>Alm Keluarga Rachmat Sjah</t>
  </si>
  <si>
    <t>Ayah dan Ibu sudah berpulang</t>
  </si>
  <si>
    <t>Farhan Bintang Rahmat</t>
  </si>
  <si>
    <t>TBD</t>
  </si>
  <si>
    <t>Kuliah tingkat akhir</t>
  </si>
  <si>
    <t>Fajar</t>
  </si>
  <si>
    <t>Kelas 2 SMA</t>
  </si>
  <si>
    <t>Total per Bulan</t>
  </si>
  <si>
    <t>Tanggal Update</t>
  </si>
  <si>
    <t>Saldo Akhir</t>
  </si>
  <si>
    <t>Delta per Bulan</t>
  </si>
  <si>
    <t>Subtotal</t>
  </si>
  <si>
    <t>Pengeluaran</t>
  </si>
  <si>
    <t>Penerimaan</t>
  </si>
  <si>
    <t>Kode Donatur</t>
  </si>
  <si>
    <t>Komitmen per Bulan</t>
  </si>
  <si>
    <t>Rencana Transfer</t>
  </si>
  <si>
    <t>DIODA-99</t>
  </si>
  <si>
    <t>Insidental</t>
  </si>
  <si>
    <t>DIODA-001X</t>
  </si>
  <si>
    <t>DIODA-0028</t>
  </si>
  <si>
    <t>DIODA-0036</t>
  </si>
  <si>
    <t>DIODA-0044</t>
  </si>
  <si>
    <t>DIODA-0052</t>
  </si>
  <si>
    <t>per Bulan</t>
  </si>
  <si>
    <t>DIODA-006Y</t>
  </si>
  <si>
    <t>DIODA-0079</t>
  </si>
  <si>
    <t>DIODA-0087</t>
  </si>
  <si>
    <t>DIODA-0095</t>
  </si>
  <si>
    <t>DIODA-0109</t>
  </si>
  <si>
    <t>DIODA-0117</t>
  </si>
  <si>
    <t>DIODA-0125</t>
  </si>
  <si>
    <t>DIODA-0133</t>
  </si>
  <si>
    <t>DIODA-0141</t>
  </si>
  <si>
    <t>DIODA-015X</t>
  </si>
  <si>
    <t>DIODA-0168</t>
  </si>
  <si>
    <t>DIODA-0176</t>
  </si>
  <si>
    <t>DIODA-0184</t>
  </si>
  <si>
    <t>DIODA-0192</t>
  </si>
  <si>
    <t>DIODA-0206</t>
  </si>
  <si>
    <t>DIODA-0222</t>
  </si>
  <si>
    <t>DIODA-023Y</t>
  </si>
  <si>
    <t>DIODA-0257</t>
  </si>
  <si>
    <t>DIODA-0265</t>
  </si>
  <si>
    <t>DIODA-0273</t>
  </si>
  <si>
    <t>DIODA-0281</t>
  </si>
  <si>
    <t>DIODA-029X</t>
  </si>
  <si>
    <t>DIODA-0303</t>
  </si>
  <si>
    <t>per Semester</t>
  </si>
  <si>
    <t>DIODA-0311</t>
  </si>
  <si>
    <t>DIODA-032X</t>
  </si>
  <si>
    <t>DIODA-0346</t>
  </si>
  <si>
    <t>DIODA-0354</t>
  </si>
  <si>
    <t>DIODA-0362</t>
  </si>
  <si>
    <t>DIODA-037Y</t>
  </si>
  <si>
    <t>DIODA-0389</t>
  </si>
  <si>
    <t>DIODA-040Y</t>
  </si>
  <si>
    <t>DIODA-0419</t>
  </si>
  <si>
    <t>DIODA-0427</t>
  </si>
  <si>
    <t>DIODA-0435</t>
  </si>
  <si>
    <t>DIODA-0443</t>
  </si>
  <si>
    <t>DIODA-0451</t>
  </si>
  <si>
    <t>DIODA-046X</t>
  </si>
  <si>
    <t>DIODA-0478</t>
  </si>
  <si>
    <t>DIODA-0486</t>
  </si>
  <si>
    <t>DIODA-0494</t>
  </si>
  <si>
    <t>DIODA-0508</t>
  </si>
  <si>
    <t>DIODA-0516</t>
  </si>
  <si>
    <t>DIODA-0524</t>
  </si>
  <si>
    <t>DIODA-0532</t>
  </si>
  <si>
    <t>DIODA-054Y</t>
  </si>
  <si>
    <t>DIODA-0559</t>
  </si>
  <si>
    <t>DIODA-0567</t>
  </si>
  <si>
    <t>DIODA-0575</t>
  </si>
  <si>
    <t>DIODA-0583</t>
  </si>
  <si>
    <t>DIODA-0591</t>
  </si>
  <si>
    <t>DIODA-0605</t>
  </si>
  <si>
    <t>DIODA-0613</t>
  </si>
  <si>
    <t>DIODA-0621</t>
  </si>
  <si>
    <t>DIODA-063X</t>
  </si>
  <si>
    <t>DIODA-0648</t>
  </si>
  <si>
    <t>DIODA-0656</t>
  </si>
  <si>
    <t>DIODA-0664</t>
  </si>
  <si>
    <t>DIODA-0672</t>
  </si>
  <si>
    <t>DIODA-068Y</t>
  </si>
  <si>
    <t>DIODA-0699</t>
  </si>
  <si>
    <t>DIODA-0702</t>
  </si>
  <si>
    <t>DIODA-0729</t>
  </si>
  <si>
    <t>DIODA-0737</t>
  </si>
  <si>
    <t>DIODA-0745</t>
  </si>
  <si>
    <t>DIODA-0753</t>
  </si>
  <si>
    <t>DIODA-0761</t>
  </si>
  <si>
    <t>DIODA-077X</t>
  </si>
  <si>
    <t>DIODA-0788</t>
  </si>
  <si>
    <t>DIODA-0796</t>
  </si>
  <si>
    <t>DIODA-080X</t>
  </si>
  <si>
    <t>DIODA-0818</t>
  </si>
  <si>
    <t>DIODA-0826</t>
  </si>
  <si>
    <t>DIODA-0842</t>
  </si>
  <si>
    <t>DIODA-085Y</t>
  </si>
  <si>
    <t>DIODA-701X</t>
  </si>
  <si>
    <t>DIODA-702X</t>
  </si>
  <si>
    <t>DIODA-703Y</t>
  </si>
  <si>
    <t>DIODA-704X</t>
  </si>
  <si>
    <t>DIODA-7057</t>
  </si>
  <si>
    <t>DIODA-7065</t>
  </si>
  <si>
    <t>DIODA-7081</t>
  </si>
  <si>
    <t>DIODA-709X</t>
  </si>
  <si>
    <t>DIODA-7103</t>
  </si>
  <si>
    <t>DIODA-712X</t>
  </si>
  <si>
    <t>Saldo</t>
  </si>
  <si>
    <t>Setelah</t>
  </si>
  <si>
    <t>Sebelum</t>
  </si>
  <si>
    <t>Keluarga Penerima</t>
  </si>
  <si>
    <t>Santunan per Keluarga</t>
  </si>
  <si>
    <r>
      <rPr>
        <rFont val="Calibri"/>
        <b/>
        <color theme="1"/>
        <sz val="11.0"/>
      </rPr>
      <t>Keluarga George</t>
    </r>
    <r>
      <rPr>
        <rFont val="Calibri"/>
        <color theme="1"/>
        <sz val="11.0"/>
      </rPr>
      <t xml:space="preserve">
Bank Mandiri
Acc: 1290005675406
a/n Siti Muthiah</t>
    </r>
  </si>
  <si>
    <r>
      <rPr>
        <rFont val="Calibri"/>
        <b/>
        <color theme="1"/>
        <sz val="11.0"/>
      </rPr>
      <t>Keluarga Tuwo</t>
    </r>
    <r>
      <rPr>
        <rFont val="Calibri"/>
        <color theme="1"/>
        <sz val="11.0"/>
      </rPr>
      <t xml:space="preserve">
Bank Mandiri
Acc: 1490016437198
a/n Sri Astuti</t>
    </r>
  </si>
  <si>
    <r>
      <rPr>
        <rFont val="Calibri"/>
        <b/>
        <color theme="1"/>
        <sz val="11.0"/>
      </rPr>
      <t>Keluarga Rachmat</t>
    </r>
    <r>
      <rPr>
        <rFont val="Calibri"/>
        <color theme="1"/>
        <sz val="11.0"/>
      </rPr>
      <t xml:space="preserve">
Bank BCA
Acc: 5725255281
a/n Farhan Bintang Rachmat</t>
    </r>
  </si>
  <si>
    <t>Tanggal</t>
  </si>
  <si>
    <t>Log Transfer (Special Case - Non Regular Transfer)</t>
  </si>
  <si>
    <t>Bulan</t>
  </si>
  <si>
    <t>Alm Keluarga George</t>
  </si>
  <si>
    <t>NPM</t>
  </si>
  <si>
    <t>Nama</t>
  </si>
  <si>
    <t>No Transfer Info</t>
  </si>
  <si>
    <t>Hamba ALLAH</t>
  </si>
  <si>
    <t>049903001X</t>
  </si>
  <si>
    <t>A. Ademulia Djufri</t>
  </si>
  <si>
    <t>0499030028</t>
  </si>
  <si>
    <t>Achmad Nuriman</t>
  </si>
  <si>
    <t>0499030036</t>
  </si>
  <si>
    <t>Adhitya Pratama</t>
  </si>
  <si>
    <t>0499030044</t>
  </si>
  <si>
    <t>Adhitya Ubaidillah</t>
  </si>
  <si>
    <t>0499030052</t>
  </si>
  <si>
    <t>Adi Munandir</t>
  </si>
  <si>
    <t>049903006Y</t>
  </si>
  <si>
    <t>Adi Vithara Purba</t>
  </si>
  <si>
    <t>0499030079</t>
  </si>
  <si>
    <t>Agam Y. Mufty</t>
  </si>
  <si>
    <t>0499030087</t>
  </si>
  <si>
    <t>Agung Sulistriawan</t>
  </si>
  <si>
    <t>0499030095</t>
  </si>
  <si>
    <t>Agus Novianto</t>
  </si>
  <si>
    <t>0499030109</t>
  </si>
  <si>
    <t>Akhmad Zacky</t>
  </si>
  <si>
    <t>0499030117</t>
  </si>
  <si>
    <t>Alferdin</t>
  </si>
  <si>
    <t>0499030125</t>
  </si>
  <si>
    <t>Ali Zifan</t>
  </si>
  <si>
    <t>0499030133</t>
  </si>
  <si>
    <t>Allpins Pribadi</t>
  </si>
  <si>
    <t>0499030141</t>
  </si>
  <si>
    <t>Andy Stiawan</t>
  </si>
  <si>
    <t>049903015X</t>
  </si>
  <si>
    <t>Ardian Eko</t>
  </si>
  <si>
    <t>0499030168</t>
  </si>
  <si>
    <t>Arief Rahman Yusuf</t>
  </si>
  <si>
    <t>0499030176</t>
  </si>
  <si>
    <t>Ariefiazif</t>
  </si>
  <si>
    <t>0499030184</t>
  </si>
  <si>
    <t>Arif Budiman</t>
  </si>
  <si>
    <t>0499030192</t>
  </si>
  <si>
    <t>Arif Damanhuri</t>
  </si>
  <si>
    <t>0499030206</t>
  </si>
  <si>
    <t>Aris Dwi Rahmana</t>
  </si>
  <si>
    <t>0499030222</t>
  </si>
  <si>
    <t>Asep Adiwinata</t>
  </si>
  <si>
    <t>049903023Y</t>
  </si>
  <si>
    <t>Awang Ramdhani</t>
  </si>
  <si>
    <t>0499030257</t>
  </si>
  <si>
    <t>Bonard Sitompul</t>
  </si>
  <si>
    <t>0499030265</t>
  </si>
  <si>
    <t>Daniel D S</t>
  </si>
  <si>
    <t>0499030273</t>
  </si>
  <si>
    <t>Dedy Widarta</t>
  </si>
  <si>
    <t>0499030281</t>
  </si>
  <si>
    <t>Edy Wijaya</t>
  </si>
  <si>
    <t>049903029X</t>
  </si>
  <si>
    <t>Ferry Arief Wibowo</t>
  </si>
  <si>
    <t>0499030303</t>
  </si>
  <si>
    <t>Fajar Fitrianto</t>
  </si>
  <si>
    <t>0499030311</t>
  </si>
  <si>
    <t>Fani Irfan Hidayat</t>
  </si>
  <si>
    <t>049903032X</t>
  </si>
  <si>
    <t>Ferdi Ferandi</t>
  </si>
  <si>
    <t>0499030346</t>
  </si>
  <si>
    <t>Fikri Firman</t>
  </si>
  <si>
    <t>0499030354</t>
  </si>
  <si>
    <t>Freddy J. Siahaan</t>
  </si>
  <si>
    <t>0499030362</t>
  </si>
  <si>
    <t>George Leonard Dale</t>
  </si>
  <si>
    <t>049903037Y</t>
  </si>
  <si>
    <t>Gita Ranuhardi</t>
  </si>
  <si>
    <t>0499030389</t>
  </si>
  <si>
    <t>Gunarto</t>
  </si>
  <si>
    <t>049903040Y</t>
  </si>
  <si>
    <t>Hartuti Mistialustina</t>
  </si>
  <si>
    <t>0499030419</t>
  </si>
  <si>
    <t>Henry Wijaya</t>
  </si>
  <si>
    <t>0499030427</t>
  </si>
  <si>
    <t>Herrizal Fathony</t>
  </si>
  <si>
    <t>0499030435</t>
  </si>
  <si>
    <t>Iman Ismail</t>
  </si>
  <si>
    <t>0499030443</t>
  </si>
  <si>
    <t>Irene</t>
  </si>
  <si>
    <t>0499030451</t>
  </si>
  <si>
    <t>Jemmy Susanto</t>
  </si>
  <si>
    <t>049903046X</t>
  </si>
  <si>
    <t>Lazuardy GS</t>
  </si>
  <si>
    <t>0499030478</t>
  </si>
  <si>
    <t>Muhammad Luniara Siregar</t>
  </si>
  <si>
    <t>0499030486</t>
  </si>
  <si>
    <t>Mahadewi A. P</t>
  </si>
  <si>
    <t>0499030494</t>
  </si>
  <si>
    <t>Ma'ruf Pattimura</t>
  </si>
  <si>
    <t>0499030508</t>
  </si>
  <si>
    <t>Mohamad Nur Fadli</t>
  </si>
  <si>
    <t>0499030516</t>
  </si>
  <si>
    <t>Muhamad Sumarlan R</t>
  </si>
  <si>
    <t>0499030524</t>
  </si>
  <si>
    <t>Muhammad Syafar AZ</t>
  </si>
  <si>
    <t>0499030532</t>
  </si>
  <si>
    <t>Muhammad Yusron Amriadi</t>
  </si>
  <si>
    <t>049903054Y</t>
  </si>
  <si>
    <t>Nandha Handharu</t>
  </si>
  <si>
    <t>0499030559</t>
  </si>
  <si>
    <t>P. Andreas Sitorus</t>
  </si>
  <si>
    <t>0499030567</t>
  </si>
  <si>
    <t>Panji Mardhani</t>
  </si>
  <si>
    <t>0499030575</t>
  </si>
  <si>
    <t>Panji Seto Damarjati</t>
  </si>
  <si>
    <t>0499030583</t>
  </si>
  <si>
    <t>Perinov</t>
  </si>
  <si>
    <t>0499030591</t>
  </si>
  <si>
    <t>Prayogi</t>
  </si>
  <si>
    <t>0499030605</t>
  </si>
  <si>
    <t>Rachardianto</t>
  </si>
  <si>
    <t>0499030613</t>
  </si>
  <si>
    <t>Rachmat Sjach</t>
  </si>
  <si>
    <t>0499030621</t>
  </si>
  <si>
    <t>Rahayu Diah Ratnawati</t>
  </si>
  <si>
    <t>049903063X</t>
  </si>
  <si>
    <t>Renno S. D</t>
  </si>
  <si>
    <t>0499030648</t>
  </si>
  <si>
    <t>Reza Erlangga</t>
  </si>
  <si>
    <t>0499030656</t>
  </si>
  <si>
    <t>Ricardo Palito</t>
  </si>
  <si>
    <t>0499030664</t>
  </si>
  <si>
    <t>Ricko Perdana Putra</t>
  </si>
  <si>
    <t>0499030672</t>
  </si>
  <si>
    <t>Ricky P.T.P</t>
  </si>
  <si>
    <t>049903068Y</t>
  </si>
  <si>
    <t>Rizky Delli Reza</t>
  </si>
  <si>
    <t>0499030699</t>
  </si>
  <si>
    <t>Ronald Aditya Saputro</t>
  </si>
  <si>
    <t>0499030702</t>
  </si>
  <si>
    <t>Ronald Alexander</t>
  </si>
  <si>
    <t>0499030729</t>
  </si>
  <si>
    <t>Satrio Sukarno</t>
  </si>
  <si>
    <t>0499030737</t>
  </si>
  <si>
    <t>Sony Chahyadi</t>
  </si>
  <si>
    <t>0499030745</t>
  </si>
  <si>
    <t>Subhan</t>
  </si>
  <si>
    <t>0499030753</t>
  </si>
  <si>
    <t>Surado</t>
  </si>
  <si>
    <t>0499030761</t>
  </si>
  <si>
    <t>Syukri Suwandha</t>
  </si>
  <si>
    <t>049903077X</t>
  </si>
  <si>
    <t>Taufan Harist Dwijatmiko</t>
  </si>
  <si>
    <t>0499030788</t>
  </si>
  <si>
    <t>Toni Prihadi</t>
  </si>
  <si>
    <t>0499030796</t>
  </si>
  <si>
    <t>Vincent Wijaya</t>
  </si>
  <si>
    <t>049903080X</t>
  </si>
  <si>
    <t>Wachid Nafian</t>
  </si>
  <si>
    <t>0499030818</t>
  </si>
  <si>
    <t>Wahyu Hidayat</t>
  </si>
  <si>
    <t>0499030826</t>
  </si>
  <si>
    <t>Wahyu Widyatmoko</t>
  </si>
  <si>
    <t>0499030842</t>
  </si>
  <si>
    <t>Yodi Deza</t>
  </si>
  <si>
    <t>049903085Y</t>
  </si>
  <si>
    <t>Yoppie Agitya Krisnanto</t>
  </si>
  <si>
    <t>049903701X</t>
  </si>
  <si>
    <t>Agung Sulistiono</t>
  </si>
  <si>
    <t>049903702X</t>
  </si>
  <si>
    <t>Bimas</t>
  </si>
  <si>
    <t>049903703Y</t>
  </si>
  <si>
    <t>Bintan Fajar Hariyadi</t>
  </si>
  <si>
    <t>049903704X</t>
  </si>
  <si>
    <t>Dodi Ahmadi</t>
  </si>
  <si>
    <t>0499037057</t>
  </si>
  <si>
    <t>Erwin Arief Wibowo</t>
  </si>
  <si>
    <t>0499037065</t>
  </si>
  <si>
    <t>Fajar Muttaqin</t>
  </si>
  <si>
    <t>0499037081</t>
  </si>
  <si>
    <t>Muhammad Shobirin</t>
  </si>
  <si>
    <t>049903709X</t>
  </si>
  <si>
    <t>Muhammad Suryanegara</t>
  </si>
  <si>
    <t>0499037103</t>
  </si>
  <si>
    <t>Rifky Cahyadi</t>
  </si>
  <si>
    <t>049903712X</t>
  </si>
  <si>
    <t>Ronald Ferdinand Sianturi</t>
  </si>
  <si>
    <t>0499037138</t>
  </si>
  <si>
    <t>Tuwo</t>
  </si>
  <si>
    <t>Survey E99 Berbagi</t>
  </si>
  <si>
    <t>Mohon info nama dan nomor handphone aktif untuk pemberitahuan.</t>
  </si>
  <si>
    <t>Nama :</t>
  </si>
  <si>
    <t>No HP :</t>
  </si>
  <si>
    <t>Apakah rekan E99 bersedia menjadi Donatur tetap E99 Berbagi? 
E99 Berbagi adalah program E99 FTUI yang bersifat sukarela untuk memberikan santunan pendidikan secara bulanan/reguler kepada Keluarga/Anak dari rekan E99 yang sudah berpulang.</t>
  </si>
  <si>
    <t>a. BERSEDIA, transfer per BULAN</t>
  </si>
  <si>
    <t>b. BERSEDIA, transfer per TRIWULAN (3 bulan)</t>
  </si>
  <si>
    <t>c. BERSEDIA, transfer per SEMESTER (6 bulan)</t>
  </si>
  <si>
    <t>d. BERSEDIA, transfer per TAHUN (12 bulan)</t>
  </si>
  <si>
    <t>e. BERSEDIA, transfer INSIDENTAL (tidak tetap)</t>
  </si>
  <si>
    <t>f. TIDAK BERSEDIA</t>
  </si>
  <si>
    <t>Transfer ke Keluarga Alm Rekan E99 akan dilakukan per bulan, dan laporan bulanan akan diberikan per bulan di group E99.
Reminder kepada Donatur akan disampaikan secara pribadi ke nomor HP yang diberitahukan.
Donasi ini bersifat sukarela, donasi dapat diubah atau dihentikan dengan pemberitahuan secara pribadi ke Admin E99 Berbagi Ma'ruf Pattimura dan Fajar Muttaqin.
Apakah ada saran lain untuk E99 Berbagi ?</t>
  </si>
  <si>
    <t>Free Text</t>
  </si>
  <si>
    <t>Laporan E99 Berbagi November 2024</t>
  </si>
  <si>
    <t>Laporan E99 Berbagi Desember 2024</t>
  </si>
  <si>
    <t>Laporan E99 Berbagi Januari 2025</t>
  </si>
  <si>
    <t>Laporan E99 Berbagi Februari 2025</t>
  </si>
  <si>
    <t>Pemasukan</t>
  </si>
  <si>
    <t>Keluarga George</t>
  </si>
  <si>
    <t>Keluarga Tuwo</t>
  </si>
  <si>
    <t>Keluarga Rachmat</t>
  </si>
  <si>
    <t>Sisa Jan 2025</t>
  </si>
  <si>
    <t>Sisa Feb 2025</t>
  </si>
  <si>
    <t>Sisa Des 2024</t>
  </si>
  <si>
    <t>Saldo Sebelumnya</t>
  </si>
  <si>
    <t>Kas Donasi</t>
  </si>
  <si>
    <t>Sisa Nov 2024</t>
  </si>
  <si>
    <t>Saldo Reuni Perak</t>
  </si>
  <si>
    <t>Laporan E99 Berbagi Hari Raya</t>
  </si>
  <si>
    <t>Laporan E99 Berbagi Maret 2025</t>
  </si>
  <si>
    <t>Laporan E99 Berbagi April 2025</t>
  </si>
  <si>
    <t>Laporan E99 Berbagi Mei 2025</t>
  </si>
  <si>
    <t>Kas Donasi Sebelum</t>
  </si>
  <si>
    <t>Kas saat ini</t>
  </si>
  <si>
    <t>Sisa Mei 2025</t>
  </si>
  <si>
    <t>Saldo sebelumnya</t>
  </si>
  <si>
    <t>Sisa April 2025</t>
  </si>
  <si>
    <t>Sisa Maret 2025</t>
  </si>
  <si>
    <t>Laporan E99 Berbagi Juni 2025</t>
  </si>
  <si>
    <t>Laporan E99 Berbagi Juli 2025</t>
  </si>
  <si>
    <t>Laporan Uang Duka Gendo</t>
  </si>
  <si>
    <t>Laporan E99 Berbagi Agustus 2025</t>
  </si>
  <si>
    <t>Sisa Agustus 2025</t>
  </si>
  <si>
    <t>Sisa Juli 2025</t>
  </si>
  <si>
    <t>Sisa Juni 2025</t>
  </si>
  <si>
    <t>Laporan E99 Berbagi September 2025</t>
  </si>
  <si>
    <t>Laporan E99 Berbagi Oktober 2025</t>
  </si>
  <si>
    <t>Laporan Uang Duka Subhan</t>
  </si>
  <si>
    <t>Laporan E99 Berbagi November 2025</t>
  </si>
  <si>
    <t>Total</t>
  </si>
  <si>
    <t>Sisa November 2025</t>
  </si>
  <si>
    <t>Sisa Septemb 2025</t>
  </si>
  <si>
    <t>Kas donasi</t>
  </si>
  <si>
    <t>Sisa Oktober 2025</t>
  </si>
  <si>
    <t>Laporan E99 Berbagi Desember 2025</t>
  </si>
  <si>
    <t>Laporan E99 Berbagi Januari 2026</t>
  </si>
  <si>
    <t>Laporan Uang SPP Anak Subhan</t>
  </si>
  <si>
    <t>Laporan E99 Berbagi Februari 2026</t>
  </si>
  <si>
    <t>Pinjam Kas</t>
  </si>
  <si>
    <t>Sisa Januari 2026</t>
  </si>
  <si>
    <t>Sisa Februari 2026</t>
  </si>
  <si>
    <t>Sisa Desember 2025</t>
  </si>
  <si>
    <t>Cicilan Subhan</t>
  </si>
  <si>
    <t>Hutang Sebelumnya</t>
  </si>
  <si>
    <t>Sisa Hutang</t>
  </si>
  <si>
    <t>Kas setelah cicilan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</si>
</sst>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mmm\-yy"/>
  </numFmts>
  <fonts count="20">
    <font>
      <sz val="11.0"/>
      <color theme="1"/>
      <name val="Calibri"/>
      <scheme val="minor"/>
    </font>
    <font>
      <color theme="1"/>
      <name val="Calibri"/>
      <scheme val="minor"/>
    </font>
    <font>
      <sz val="11.0"/>
      <color theme="1"/>
      <name val="Calibri"/>
    </font>
    <font>
      <b/>
      <sz val="11.0"/>
      <color theme="0"/>
      <name val="Calibri"/>
    </font>
    <font>
      <b/>
      <sz val="11.0"/>
      <color theme="1"/>
      <name val="Calibri"/>
    </font>
    <font/>
    <font>
      <b/>
      <sz val="11.0"/>
      <color rgb="FFF2F2F2"/>
      <name val="Calibri"/>
    </font>
    <font>
      <b/>
      <sz val="11.0"/>
      <color rgb="FF548135"/>
      <name val="Calibri"/>
    </font>
    <font>
      <b/>
      <sz val="11.0"/>
      <color rgb="FF385623"/>
      <name val="Calibri"/>
    </font>
    <font>
      <sz val="9.0"/>
      <color theme="1"/>
      <name val="Calibri"/>
      <scheme val="minor"/>
    </font>
    <font>
      <sz val="9.0"/>
      <color rgb="FF548135"/>
      <name val="Calibri"/>
    </font>
    <font>
      <sz val="9.0"/>
      <color theme="1"/>
      <name val="Calibri"/>
    </font>
    <font>
      <b/>
      <sz val="11.0"/>
      <color rgb="FF2E75B5"/>
      <name val="Calibri"/>
    </font>
    <font>
      <sz val="9.0"/>
      <color rgb="FF2E75B5"/>
      <name val="Calibri"/>
    </font>
    <font>
      <sz val="10.0"/>
      <color theme="1"/>
      <name val="Arial"/>
    </font>
    <font>
      <b/>
      <color theme="1"/>
      <name val="Calibri"/>
      <scheme val="minor"/>
    </font>
    <font>
      <i/>
      <color theme="1"/>
      <name val="Calibri"/>
      <scheme val="minor"/>
    </font>
    <font>
      <sz val="11.0"/>
      <color rgb="FF000000"/>
      <name val="Calibri"/>
    </font>
    <font>
      <sz val="9.0"/>
      <color rgb="FF000000"/>
      <name val="Calibri"/>
    </font>
    <font>
      <color rgb="FFFFFF00"/>
      <name val="Calibri"/>
      <scheme val="minor"/>
    </font>
  </fonts>
  <fills count="9">
    <fill>
      <patternFill patternType="none"/>
    </fill>
    <fill>
      <patternFill patternType="lightGray"/>
    </fill>
    <fill>
      <patternFill patternType="solid">
        <fgColor rgb="FF1E4E79"/>
        <bgColor rgb="FF1E4E79"/>
      </patternFill>
    </fill>
    <fill>
      <patternFill patternType="solid">
        <fgColor rgb="FFBDD6EE"/>
        <bgColor rgb="FFBDD6EE"/>
      </patternFill>
    </fill>
    <fill>
      <patternFill patternType="solid">
        <fgColor rgb="FF548135"/>
        <bgColor rgb="FF548135"/>
      </patternFill>
    </fill>
    <fill>
      <patternFill patternType="solid">
        <fgColor rgb="FFC5E0B3"/>
        <bgColor rgb="FFC5E0B3"/>
      </patternFill>
    </fill>
    <fill>
      <patternFill patternType="solid">
        <fgColor rgb="FF2E75B5"/>
        <bgColor rgb="FF2E75B5"/>
      </patternFill>
    </fill>
    <fill>
      <patternFill patternType="solid">
        <fgColor rgb="FFDEEAF6"/>
        <bgColor rgb="FFDEEAF6"/>
      </patternFill>
    </fill>
    <fill>
      <patternFill patternType="solid">
        <fgColor rgb="FFFFFF00"/>
        <bgColor rgb="FFFFFF00"/>
      </patternFill>
    </fill>
  </fills>
  <borders count="19">
    <border/>
    <border>
      <left style="thin">
        <color rgb="FF00B0F0"/>
      </left>
      <right style="thin">
        <color rgb="FF00B0F0"/>
      </right>
      <top style="thin">
        <color rgb="FF00B0F0"/>
      </top>
      <bottom style="thin">
        <color rgb="FF00B0F0"/>
      </bottom>
    </border>
    <border>
      <left style="thin">
        <color rgb="FF00B0F0"/>
      </left>
      <top style="thin">
        <color rgb="FF00B0F0"/>
      </top>
      <bottom style="thin">
        <color rgb="FF00B0F0"/>
      </bottom>
    </border>
    <border>
      <top style="thin">
        <color rgb="FF00B0F0"/>
      </top>
      <bottom style="thin">
        <color rgb="FF00B0F0"/>
      </bottom>
    </border>
    <border>
      <right style="thin">
        <color rgb="FF00B0F0"/>
      </right>
      <top style="thin">
        <color rgb="FF00B0F0"/>
      </top>
      <bottom style="thin">
        <color rgb="FF00B0F0"/>
      </bottom>
    </border>
    <border>
      <left style="thin">
        <color rgb="FF00B0F0"/>
      </left>
      <right/>
      <top style="thin">
        <color rgb="FF00B0F0"/>
      </top>
      <bottom style="thin">
        <color rgb="FF00B0F0"/>
      </bottom>
    </border>
    <border>
      <left/>
      <right/>
      <top style="thin">
        <color rgb="FF00B0F0"/>
      </top>
      <bottom style="thin">
        <color rgb="FF00B0F0"/>
      </bottom>
    </border>
    <border>
      <left/>
      <right style="thin">
        <color rgb="FF00B0F0"/>
      </right>
      <top style="thin">
        <color rgb="FF00B0F0"/>
      </top>
      <bottom style="thin">
        <color rgb="FF00B0F0"/>
      </bottom>
    </border>
    <border>
      <left style="thin">
        <color rgb="FF00B050"/>
      </left>
      <right style="thin">
        <color rgb="FF00B050"/>
      </right>
      <top style="thin">
        <color rgb="FF00B050"/>
      </top>
      <bottom style="thin">
        <color rgb="FF00B050"/>
      </bottom>
    </border>
    <border>
      <left/>
      <right/>
      <top/>
      <bottom/>
    </border>
    <border>
      <right/>
      <top style="thin">
        <color rgb="FF00B0F0"/>
      </top>
      <bottom style="thin">
        <color rgb="FF00B0F0"/>
      </bottom>
    </border>
    <border>
      <left style="thin">
        <color rgb="FF00B0F0"/>
      </left>
      <top style="thin">
        <color rgb="FF00B0F0"/>
      </top>
    </border>
    <border>
      <top style="thin">
        <color rgb="FF00B0F0"/>
      </top>
    </border>
    <border>
      <right style="thin">
        <color rgb="FF00B0F0"/>
      </right>
      <top style="thin">
        <color rgb="FF00B0F0"/>
      </top>
    </border>
    <border>
      <left style="thin">
        <color rgb="FF00B0F0"/>
      </left>
    </border>
    <border>
      <right style="thin">
        <color rgb="FF00B0F0"/>
      </right>
    </border>
    <border>
      <left style="thin">
        <color rgb="FF00B0F0"/>
      </left>
      <bottom style="thin">
        <color rgb="FF00B0F0"/>
      </bottom>
    </border>
    <border>
      <bottom style="thin">
        <color rgb="FF00B0F0"/>
      </bottom>
    </border>
    <border>
      <right style="thin">
        <color rgb="FF00B0F0"/>
      </right>
      <bottom style="thin">
        <color rgb="FF00B0F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Font="1"/>
    <xf borderId="0" fillId="0" fontId="2" numFmtId="15" xfId="0" applyFont="1" applyNumberFormat="1"/>
    <xf borderId="1" fillId="2" fontId="3" numFmtId="0" xfId="0" applyAlignment="1" applyBorder="1" applyFill="1" applyFont="1">
      <alignment horizontal="center" vertical="center"/>
    </xf>
    <xf borderId="2" fillId="3" fontId="4" numFmtId="0" xfId="0" applyAlignment="1" applyBorder="1" applyFill="1" applyFont="1">
      <alignment horizontal="center" vertical="center"/>
    </xf>
    <xf borderId="3" fillId="0" fontId="5" numFmtId="0" xfId="0" applyBorder="1" applyFont="1"/>
    <xf borderId="4" fillId="0" fontId="5" numFmtId="0" xfId="0" applyBorder="1" applyFont="1"/>
    <xf borderId="1" fillId="0" fontId="2" numFmtId="0" xfId="0" applyAlignment="1" applyBorder="1" applyFont="1">
      <alignment horizontal="center" vertical="center"/>
    </xf>
    <xf borderId="1" fillId="0" fontId="2" numFmtId="0" xfId="0" applyAlignment="1" applyBorder="1" applyFont="1">
      <alignment vertical="center"/>
    </xf>
    <xf borderId="1" fillId="0" fontId="2" numFmtId="3" xfId="0" applyAlignment="1" applyBorder="1" applyFont="1" applyNumberFormat="1">
      <alignment vertical="center"/>
    </xf>
    <xf borderId="5" fillId="3" fontId="4" numFmtId="0" xfId="0" applyAlignment="1" applyBorder="1" applyFont="1">
      <alignment vertical="center"/>
    </xf>
    <xf borderId="6" fillId="3" fontId="4" numFmtId="0" xfId="0" applyAlignment="1" applyBorder="1" applyFont="1">
      <alignment vertical="center"/>
    </xf>
    <xf borderId="6" fillId="3" fontId="4" numFmtId="3" xfId="0" applyAlignment="1" applyBorder="1" applyFont="1" applyNumberFormat="1">
      <alignment vertical="center"/>
    </xf>
    <xf borderId="7" fillId="3" fontId="4" numFmtId="0" xfId="0" applyAlignment="1" applyBorder="1" applyFont="1">
      <alignment vertical="center"/>
    </xf>
    <xf borderId="8" fillId="4" fontId="6" numFmtId="0" xfId="0" applyBorder="1" applyFill="1" applyFont="1"/>
    <xf borderId="8" fillId="0" fontId="7" numFmtId="3" xfId="0" applyBorder="1" applyFont="1" applyNumberFormat="1"/>
    <xf borderId="0" fillId="0" fontId="8" numFmtId="3" xfId="0" applyAlignment="1" applyFont="1" applyNumberFormat="1">
      <alignment readingOrder="0"/>
    </xf>
    <xf borderId="0" fillId="0" fontId="8" numFmtId="0" xfId="0" applyAlignment="1" applyFont="1">
      <alignment readingOrder="0"/>
    </xf>
    <xf borderId="0" fillId="0" fontId="9" numFmtId="0" xfId="0" applyFont="1"/>
    <xf borderId="0" fillId="0" fontId="7" numFmtId="3" xfId="0" applyAlignment="1" applyFont="1" applyNumberFormat="1">
      <alignment readingOrder="0"/>
    </xf>
    <xf borderId="0" fillId="0" fontId="7" numFmtId="0" xfId="0" applyAlignment="1" applyFont="1">
      <alignment readingOrder="0"/>
    </xf>
    <xf borderId="0" fillId="0" fontId="10" numFmtId="3" xfId="0" applyAlignment="1" applyFont="1" applyNumberFormat="1">
      <alignment vertical="top"/>
    </xf>
    <xf borderId="0" fillId="0" fontId="7" numFmtId="0" xfId="0" applyFont="1"/>
    <xf borderId="0" fillId="0" fontId="10" numFmtId="3" xfId="0" applyAlignment="1" applyFont="1" applyNumberFormat="1">
      <alignment readingOrder="0" vertical="top"/>
    </xf>
    <xf borderId="8" fillId="5" fontId="4" numFmtId="2" xfId="0" applyAlignment="1" applyBorder="1" applyFill="1" applyFont="1" applyNumberFormat="1">
      <alignment horizontal="center" shrinkToFit="0" vertical="center" wrapText="1"/>
    </xf>
    <xf borderId="8" fillId="5" fontId="4" numFmtId="164" xfId="0" applyAlignment="1" applyBorder="1" applyFont="1" applyNumberFormat="1">
      <alignment horizontal="center" shrinkToFit="0" vertical="center" wrapText="1"/>
    </xf>
    <xf borderId="8" fillId="5" fontId="4" numFmtId="164" xfId="0" applyAlignment="1" applyBorder="1" applyFont="1" applyNumberFormat="1">
      <alignment horizontal="center" readingOrder="0" shrinkToFit="0" vertical="center" wrapText="1"/>
    </xf>
    <xf borderId="8" fillId="0" fontId="2" numFmtId="0" xfId="0" applyAlignment="1" applyBorder="1" applyFont="1">
      <alignment horizontal="center" vertical="top"/>
    </xf>
    <xf borderId="8" fillId="0" fontId="2" numFmtId="0" xfId="0" applyAlignment="1" applyBorder="1" applyFont="1">
      <alignment readingOrder="0" vertical="top"/>
    </xf>
    <xf borderId="8" fillId="0" fontId="2" numFmtId="3" xfId="0" applyAlignment="1" applyBorder="1" applyFont="1" applyNumberFormat="1">
      <alignment vertical="top"/>
    </xf>
    <xf borderId="8" fillId="0" fontId="11" numFmtId="3" xfId="0" applyAlignment="1" applyBorder="1" applyFont="1" applyNumberFormat="1">
      <alignment readingOrder="0" vertical="top"/>
    </xf>
    <xf borderId="8" fillId="0" fontId="9" numFmtId="3" xfId="0" applyAlignment="1" applyBorder="1" applyFont="1" applyNumberFormat="1">
      <alignment readingOrder="0" vertical="top"/>
    </xf>
    <xf borderId="8" fillId="0" fontId="11" numFmtId="3" xfId="0" applyAlignment="1" applyBorder="1" applyFont="1" applyNumberFormat="1">
      <alignment vertical="top"/>
    </xf>
    <xf borderId="8" fillId="0" fontId="2" numFmtId="0" xfId="0" applyAlignment="1" applyBorder="1" applyFont="1">
      <alignment vertical="top"/>
    </xf>
    <xf borderId="8" fillId="0" fontId="2" numFmtId="3" xfId="0" applyAlignment="1" applyBorder="1" applyFont="1" applyNumberFormat="1">
      <alignment readingOrder="0" vertical="top"/>
    </xf>
    <xf borderId="8" fillId="0" fontId="11" numFmtId="3" xfId="0" applyAlignment="1" applyBorder="1" applyFont="1" applyNumberFormat="1">
      <alignment vertical="center"/>
    </xf>
    <xf borderId="8" fillId="0" fontId="2" numFmtId="0" xfId="0" applyAlignment="1" applyBorder="1" applyFont="1">
      <alignment horizontal="center" readingOrder="0" vertical="top"/>
    </xf>
    <xf borderId="0" fillId="0" fontId="2" numFmtId="0" xfId="0" applyAlignment="1" applyFont="1">
      <alignment vertical="top"/>
    </xf>
    <xf borderId="1" fillId="6" fontId="6" numFmtId="0" xfId="0" applyBorder="1" applyFill="1" applyFont="1"/>
    <xf borderId="1" fillId="0" fontId="12" numFmtId="3" xfId="0" applyBorder="1" applyFont="1" applyNumberFormat="1"/>
    <xf borderId="0" fillId="0" fontId="8" numFmtId="0" xfId="0" applyFont="1"/>
    <xf borderId="0" fillId="0" fontId="12" numFmtId="0" xfId="0" applyFont="1"/>
    <xf borderId="0" fillId="0" fontId="13" numFmtId="3" xfId="0" applyAlignment="1" applyFont="1" applyNumberFormat="1">
      <alignment vertical="top"/>
    </xf>
    <xf borderId="1" fillId="3" fontId="4" numFmtId="2" xfId="0" applyAlignment="1" applyBorder="1" applyFont="1" applyNumberFormat="1">
      <alignment horizontal="center" shrinkToFit="0" vertical="center" wrapText="1"/>
    </xf>
    <xf borderId="2" fillId="3" fontId="4" numFmtId="2" xfId="0" applyAlignment="1" applyBorder="1" applyFont="1" applyNumberFormat="1">
      <alignment horizontal="center" shrinkToFit="0" vertical="center" wrapText="1"/>
    </xf>
    <xf borderId="1" fillId="3" fontId="4" numFmtId="164" xfId="0" applyAlignment="1" applyBorder="1" applyFont="1" applyNumberFormat="1">
      <alignment horizontal="center" shrinkToFit="0" vertical="center" wrapText="1"/>
    </xf>
    <xf borderId="1" fillId="0" fontId="2" numFmtId="0" xfId="0" applyAlignment="1" applyBorder="1" applyFont="1">
      <alignment horizontal="center" vertical="top"/>
    </xf>
    <xf borderId="1" fillId="0" fontId="2" numFmtId="0" xfId="0" applyAlignment="1" applyBorder="1" applyFont="1">
      <alignment shrinkToFit="0" vertical="top" wrapText="1"/>
    </xf>
    <xf borderId="1" fillId="0" fontId="2" numFmtId="3" xfId="0" applyAlignment="1" applyBorder="1" applyFont="1" applyNumberFormat="1">
      <alignment vertical="top"/>
    </xf>
    <xf borderId="1" fillId="0" fontId="2" numFmtId="0" xfId="0" applyAlignment="1" applyBorder="1" applyFont="1">
      <alignment vertical="top"/>
    </xf>
    <xf borderId="1" fillId="0" fontId="11" numFmtId="3" xfId="0" applyAlignment="1" applyBorder="1" applyFont="1" applyNumberFormat="1">
      <alignment readingOrder="0" vertical="top"/>
    </xf>
    <xf borderId="1" fillId="0" fontId="11" numFmtId="3" xfId="0" applyAlignment="1" applyBorder="1" applyFont="1" applyNumberFormat="1">
      <alignment vertical="top"/>
    </xf>
    <xf borderId="1" fillId="0" fontId="2" numFmtId="0" xfId="0" applyAlignment="1" applyBorder="1" applyFont="1">
      <alignment readingOrder="0" shrinkToFit="0" vertical="top" wrapText="1"/>
    </xf>
    <xf borderId="1" fillId="3" fontId="4" numFmtId="2" xfId="0" applyAlignment="1" applyBorder="1" applyFont="1" applyNumberFormat="1">
      <alignment horizontal="center" shrinkToFit="0" vertical="top" wrapText="1"/>
    </xf>
    <xf borderId="2" fillId="3" fontId="4" numFmtId="2" xfId="0" applyAlignment="1" applyBorder="1" applyFont="1" applyNumberFormat="1">
      <alignment horizontal="center" shrinkToFit="0" vertical="top" wrapText="1"/>
    </xf>
    <xf borderId="2" fillId="0" fontId="2" numFmtId="0" xfId="0" applyAlignment="1" applyBorder="1" applyFont="1">
      <alignment shrinkToFit="0" vertical="top" wrapText="1"/>
    </xf>
    <xf borderId="9" fillId="6" fontId="2" numFmtId="0" xfId="0" applyBorder="1" applyFont="1"/>
    <xf borderId="0" fillId="0" fontId="2" numFmtId="17" xfId="0" applyFont="1" applyNumberFormat="1"/>
    <xf borderId="10" fillId="0" fontId="5"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0" fillId="0" fontId="2" numFmtId="0" xfId="0"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0" fillId="0" fontId="11" numFmtId="0" xfId="0" applyAlignment="1" applyFont="1">
      <alignment horizontal="center"/>
    </xf>
    <xf borderId="0" fillId="0" fontId="11" numFmtId="0" xfId="0" applyFont="1"/>
    <xf borderId="1" fillId="7" fontId="2" numFmtId="0" xfId="0" applyAlignment="1" applyBorder="1" applyFill="1" applyFont="1">
      <alignment vertical="top"/>
    </xf>
    <xf borderId="1" fillId="0" fontId="14" numFmtId="0" xfId="0" applyAlignment="1" applyBorder="1" applyFont="1">
      <alignment shrinkToFit="0" vertical="top" wrapText="1"/>
    </xf>
    <xf quotePrefix="1" borderId="1" fillId="0" fontId="14" numFmtId="0" xfId="0" applyAlignment="1" applyBorder="1" applyFont="1">
      <alignment readingOrder="0" shrinkToFit="0" vertical="top" wrapText="1"/>
    </xf>
    <xf borderId="1" fillId="0" fontId="14" numFmtId="0" xfId="0" applyAlignment="1" applyBorder="1" applyFont="1">
      <alignment readingOrder="0" shrinkToFit="0" vertical="top" wrapText="1"/>
    </xf>
    <xf quotePrefix="1" borderId="1" fillId="0" fontId="14" numFmtId="0" xfId="0" applyAlignment="1" applyBorder="1" applyFont="1">
      <alignment shrinkToFit="0" vertical="top" wrapText="1"/>
    </xf>
    <xf borderId="0" fillId="0" fontId="1" numFmtId="0" xfId="0" applyAlignment="1" applyFont="1">
      <alignment vertical="top"/>
    </xf>
    <xf borderId="0" fillId="0" fontId="15" numFmtId="0" xfId="0" applyAlignment="1" applyFont="1">
      <alignment readingOrder="0" vertical="top"/>
    </xf>
    <xf borderId="0" fillId="0" fontId="1" numFmtId="0" xfId="0" applyAlignment="1" applyFont="1">
      <alignment readingOrder="0" vertical="top"/>
    </xf>
    <xf borderId="0" fillId="0" fontId="16" numFmtId="0" xfId="0" applyAlignment="1" applyFont="1">
      <alignment readingOrder="0" vertical="top"/>
    </xf>
    <xf borderId="0" fillId="0" fontId="1" numFmtId="0" xfId="0" applyAlignment="1" applyFont="1">
      <alignment readingOrder="0"/>
    </xf>
    <xf borderId="0" fillId="0" fontId="2" numFmtId="0" xfId="0" applyAlignment="1" applyFont="1">
      <alignment readingOrder="0" vertical="top"/>
    </xf>
    <xf borderId="0" fillId="0" fontId="11" numFmtId="3" xfId="0" applyAlignment="1" applyFont="1" applyNumberFormat="1">
      <alignment readingOrder="0" vertical="top"/>
    </xf>
    <xf borderId="0" fillId="0" fontId="1" numFmtId="3" xfId="0" applyFont="1" applyNumberFormat="1"/>
    <xf borderId="0" fillId="0" fontId="1" numFmtId="3" xfId="0" applyAlignment="1" applyFont="1" applyNumberFormat="1">
      <alignment readingOrder="0"/>
    </xf>
    <xf borderId="0" fillId="8" fontId="1" numFmtId="0" xfId="0" applyFill="1" applyFont="1"/>
    <xf borderId="8" fillId="0" fontId="17" numFmtId="0" xfId="0" applyAlignment="1" applyBorder="1" applyFont="1">
      <alignment readingOrder="0" shrinkToFit="0" vertical="top" wrapText="0"/>
    </xf>
    <xf borderId="8" fillId="0" fontId="18" numFmtId="3" xfId="0" applyAlignment="1" applyBorder="1" applyFont="1" applyNumberFormat="1">
      <alignment horizontal="right" readingOrder="0" shrinkToFit="0" vertical="top" wrapText="0"/>
    </xf>
    <xf borderId="0" fillId="0" fontId="18" numFmtId="3" xfId="0" applyAlignment="1" applyFont="1" applyNumberFormat="1">
      <alignment horizontal="right" readingOrder="0" shrinkToFit="0" vertical="top" wrapText="0"/>
    </xf>
    <xf borderId="0" fillId="8"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5.57"/>
    <col customWidth="1" min="3" max="3" width="30.29"/>
    <col customWidth="1" min="4" max="4" width="21.86"/>
    <col customWidth="1" min="5" max="5" width="27.86"/>
    <col customWidth="1" min="6" max="26" width="8.71"/>
  </cols>
  <sheetData>
    <row r="1" ht="14.25" customHeight="1">
      <c r="B1" s="1" t="s">
        <v>0</v>
      </c>
      <c r="C1" s="2">
        <v>45596.0</v>
      </c>
    </row>
    <row r="2" ht="14.25" customHeight="1"/>
    <row r="3" ht="14.25" customHeight="1"/>
    <row r="4" ht="14.25" customHeight="1">
      <c r="B4" s="3" t="s">
        <v>1</v>
      </c>
      <c r="C4" s="3" t="s">
        <v>2</v>
      </c>
      <c r="D4" s="3" t="s">
        <v>3</v>
      </c>
      <c r="E4" s="3" t="s">
        <v>4</v>
      </c>
    </row>
    <row r="5" ht="14.25" customHeight="1">
      <c r="B5" s="4" t="s">
        <v>5</v>
      </c>
      <c r="C5" s="5"/>
      <c r="D5" s="5"/>
      <c r="E5" s="6"/>
    </row>
    <row r="6" ht="14.25" customHeight="1">
      <c r="B6" s="7"/>
      <c r="C6" s="8" t="s">
        <v>6</v>
      </c>
      <c r="D6" s="9"/>
      <c r="E6" s="8"/>
    </row>
    <row r="7" ht="14.25" customHeight="1">
      <c r="B7" s="7"/>
      <c r="C7" s="8" t="s">
        <v>7</v>
      </c>
      <c r="D7" s="9"/>
      <c r="E7" s="8"/>
    </row>
    <row r="8" ht="14.25" customHeight="1">
      <c r="B8" s="7">
        <v>1.0</v>
      </c>
      <c r="C8" s="8" t="s">
        <v>8</v>
      </c>
      <c r="D8" s="9">
        <v>750000.0</v>
      </c>
      <c r="E8" s="8" t="s">
        <v>9</v>
      </c>
    </row>
    <row r="9" ht="14.25" customHeight="1">
      <c r="B9" s="4" t="s">
        <v>10</v>
      </c>
      <c r="C9" s="5"/>
      <c r="D9" s="5"/>
      <c r="E9" s="6"/>
    </row>
    <row r="10" ht="14.25" customHeight="1">
      <c r="B10" s="7"/>
      <c r="C10" s="8" t="s">
        <v>11</v>
      </c>
      <c r="D10" s="9"/>
      <c r="E10" s="8"/>
    </row>
    <row r="11" ht="14.25" customHeight="1">
      <c r="B11" s="7"/>
      <c r="C11" s="8" t="s">
        <v>12</v>
      </c>
      <c r="D11" s="9"/>
      <c r="E11" s="8" t="s">
        <v>13</v>
      </c>
    </row>
    <row r="12" ht="14.25" customHeight="1">
      <c r="B12" s="7">
        <v>1.0</v>
      </c>
      <c r="C12" s="8" t="s">
        <v>14</v>
      </c>
      <c r="D12" s="9">
        <v>700000.0</v>
      </c>
      <c r="E12" s="8" t="s">
        <v>15</v>
      </c>
    </row>
    <row r="13" ht="14.25" customHeight="1">
      <c r="B13" s="7">
        <v>2.0</v>
      </c>
      <c r="C13" s="8" t="s">
        <v>16</v>
      </c>
      <c r="D13" s="9">
        <v>250000.0</v>
      </c>
      <c r="E13" s="8"/>
    </row>
    <row r="14" ht="14.25" customHeight="1">
      <c r="B14" s="4" t="s">
        <v>17</v>
      </c>
      <c r="C14" s="5"/>
      <c r="D14" s="5"/>
      <c r="E14" s="6"/>
    </row>
    <row r="15" ht="14.25" customHeight="1">
      <c r="B15" s="7"/>
      <c r="C15" s="8" t="s">
        <v>11</v>
      </c>
      <c r="D15" s="9"/>
      <c r="E15" s="8"/>
    </row>
    <row r="16" ht="14.25" customHeight="1">
      <c r="B16" s="7"/>
      <c r="C16" s="8" t="s">
        <v>18</v>
      </c>
      <c r="D16" s="9"/>
      <c r="E16" s="8"/>
    </row>
    <row r="17" ht="14.25" customHeight="1">
      <c r="B17" s="7">
        <v>1.0</v>
      </c>
      <c r="C17" s="8" t="s">
        <v>19</v>
      </c>
      <c r="D17" s="9" t="s">
        <v>20</v>
      </c>
      <c r="E17" s="8" t="s">
        <v>21</v>
      </c>
    </row>
    <row r="18" ht="14.25" customHeight="1">
      <c r="B18" s="7">
        <v>2.0</v>
      </c>
      <c r="C18" s="8" t="s">
        <v>22</v>
      </c>
      <c r="D18" s="9">
        <v>750000.0</v>
      </c>
      <c r="E18" s="8" t="s">
        <v>23</v>
      </c>
    </row>
    <row r="19" ht="14.25" customHeight="1">
      <c r="B19" s="10"/>
      <c r="C19" s="11" t="s">
        <v>24</v>
      </c>
      <c r="D19" s="12">
        <f>SUM(D6:D18)</f>
        <v>2450000</v>
      </c>
      <c r="E19" s="13"/>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3">
    <mergeCell ref="B5:E5"/>
    <mergeCell ref="B9:E9"/>
    <mergeCell ref="B14:E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4.43" defaultRowHeight="15.0"/>
  <cols>
    <col customWidth="1" min="1" max="1" width="5.43"/>
    <col customWidth="1" min="2" max="2" width="7.0"/>
    <col customWidth="1" min="3" max="3" width="24.14"/>
    <col customWidth="1" min="4" max="4" width="14.86"/>
    <col customWidth="1" min="5" max="5" width="15.57"/>
    <col customWidth="1" hidden="1" min="6" max="17" width="8.71"/>
    <col customWidth="1" min="18" max="29" width="8.71"/>
  </cols>
  <sheetData>
    <row r="1" ht="14.25" customHeight="1"/>
    <row r="2" ht="14.25" customHeight="1">
      <c r="D2" s="14" t="s">
        <v>25</v>
      </c>
      <c r="E2" s="15" t="str">
        <f>Pengeluaran!E2</f>
        <v>Date</v>
      </c>
    </row>
    <row r="3" ht="14.25" customHeight="1">
      <c r="D3" s="14" t="s">
        <v>26</v>
      </c>
      <c r="E3" s="15" t="str">
        <f>Pengeluaran!E3</f>
        <v/>
      </c>
    </row>
    <row r="4" ht="14.25" customHeight="1">
      <c r="D4" s="16"/>
      <c r="E4" s="17"/>
      <c r="F4" s="18"/>
      <c r="G4" s="18"/>
      <c r="H4" s="18"/>
    </row>
    <row r="5" ht="14.25" customHeight="1">
      <c r="D5" s="19"/>
      <c r="E5" s="20"/>
      <c r="F5" s="21"/>
      <c r="G5" s="21"/>
      <c r="H5" s="21"/>
      <c r="I5" s="21"/>
      <c r="J5" s="21"/>
      <c r="K5" s="21"/>
      <c r="L5" s="21"/>
      <c r="M5" s="21"/>
      <c r="N5" s="21"/>
      <c r="O5" s="21"/>
      <c r="P5" s="21"/>
      <c r="Q5" s="21"/>
      <c r="R5" s="21"/>
      <c r="S5" s="21"/>
    </row>
    <row r="6" ht="14.25" customHeight="1">
      <c r="D6" s="22"/>
      <c r="E6" s="20" t="s">
        <v>27</v>
      </c>
      <c r="F6" s="21">
        <f t="shared" ref="F6:AC6" si="1">F8-F7</f>
        <v>1216667</v>
      </c>
      <c r="G6" s="21">
        <f t="shared" si="1"/>
        <v>1566667</v>
      </c>
      <c r="H6" s="21">
        <f t="shared" si="1"/>
        <v>766667</v>
      </c>
      <c r="I6" s="21">
        <f t="shared" si="1"/>
        <v>1916667</v>
      </c>
      <c r="J6" s="21">
        <f t="shared" si="1"/>
        <v>866667</v>
      </c>
      <c r="K6" s="21">
        <f t="shared" si="1"/>
        <v>966667</v>
      </c>
      <c r="L6" s="21">
        <f t="shared" si="1"/>
        <v>766667</v>
      </c>
      <c r="M6" s="21">
        <f t="shared" si="1"/>
        <v>1016667</v>
      </c>
      <c r="N6" s="21">
        <f t="shared" si="1"/>
        <v>866667</v>
      </c>
      <c r="O6" s="21">
        <f t="shared" si="1"/>
        <v>-283333</v>
      </c>
      <c r="P6" s="21">
        <f t="shared" si="1"/>
        <v>366667</v>
      </c>
      <c r="Q6" s="21">
        <f t="shared" si="1"/>
        <v>716667</v>
      </c>
      <c r="R6" s="21">
        <f t="shared" si="1"/>
        <v>-650000</v>
      </c>
      <c r="S6" s="21">
        <f t="shared" si="1"/>
        <v>-400000</v>
      </c>
      <c r="T6" s="21">
        <f t="shared" si="1"/>
        <v>-700000</v>
      </c>
      <c r="U6" s="21">
        <f t="shared" si="1"/>
        <v>-750000</v>
      </c>
      <c r="V6" s="21">
        <f t="shared" si="1"/>
        <v>2200000</v>
      </c>
      <c r="W6" s="21">
        <f t="shared" si="1"/>
        <v>500000</v>
      </c>
      <c r="X6" s="21">
        <f t="shared" si="1"/>
        <v>500000</v>
      </c>
      <c r="Y6" s="21">
        <f t="shared" si="1"/>
        <v>500000</v>
      </c>
      <c r="Z6" s="21">
        <f t="shared" si="1"/>
        <v>300000</v>
      </c>
      <c r="AA6" s="21">
        <f t="shared" si="1"/>
        <v>300000</v>
      </c>
      <c r="AB6" s="21">
        <f t="shared" si="1"/>
        <v>300000</v>
      </c>
      <c r="AC6" s="21">
        <f t="shared" si="1"/>
        <v>300000</v>
      </c>
    </row>
    <row r="7" ht="14.25" customHeight="1">
      <c r="D7" s="22" t="s">
        <v>28</v>
      </c>
      <c r="E7" s="22" t="s">
        <v>29</v>
      </c>
      <c r="F7" s="21">
        <f>Pengeluaran!F7</f>
        <v>2450000</v>
      </c>
      <c r="G7" s="21">
        <f>Pengeluaran!G7</f>
        <v>2450000</v>
      </c>
      <c r="H7" s="23">
        <v>2450000.0</v>
      </c>
      <c r="I7" s="23">
        <v>2450000.0</v>
      </c>
      <c r="J7" s="23">
        <v>2450000.0</v>
      </c>
      <c r="K7" s="23">
        <v>2450000.0</v>
      </c>
      <c r="L7" s="23">
        <v>2450000.0</v>
      </c>
      <c r="M7" s="23">
        <v>2450000.0</v>
      </c>
      <c r="N7" s="23">
        <v>2450000.0</v>
      </c>
      <c r="O7" s="23">
        <v>2450000.0</v>
      </c>
      <c r="P7" s="23">
        <v>2450000.0</v>
      </c>
      <c r="Q7" s="23">
        <v>2450000.0</v>
      </c>
      <c r="R7" s="23">
        <v>2450000.0</v>
      </c>
      <c r="S7" s="23">
        <v>2450000.0</v>
      </c>
      <c r="T7" s="23">
        <v>2450000.0</v>
      </c>
      <c r="U7" s="23">
        <v>2450000.0</v>
      </c>
      <c r="V7" s="23">
        <v>0.0</v>
      </c>
      <c r="W7" s="23">
        <v>0.0</v>
      </c>
      <c r="X7" s="23">
        <v>0.0</v>
      </c>
      <c r="Y7" s="23">
        <v>0.0</v>
      </c>
      <c r="Z7" s="23">
        <v>0.0</v>
      </c>
      <c r="AA7" s="23">
        <v>0.0</v>
      </c>
      <c r="AB7" s="23">
        <v>0.0</v>
      </c>
      <c r="AC7" s="23">
        <v>0.0</v>
      </c>
    </row>
    <row r="8" ht="14.25" customHeight="1">
      <c r="D8" s="22" t="s">
        <v>28</v>
      </c>
      <c r="E8" s="22" t="s">
        <v>30</v>
      </c>
      <c r="F8" s="21">
        <f>SUBTOTAL(9,F10:F99)</f>
        <v>3666667</v>
      </c>
      <c r="G8" s="21">
        <f>SUBTOTAL(9,G10:G99)</f>
        <v>4016667</v>
      </c>
      <c r="H8" s="21">
        <f t="shared" ref="H8:AC8" si="2">SUBTOTAL(9,H10:H99)</f>
        <v>3216667</v>
      </c>
      <c r="I8" s="21">
        <f t="shared" si="2"/>
        <v>4366667</v>
      </c>
      <c r="J8" s="21">
        <f t="shared" si="2"/>
        <v>3316667</v>
      </c>
      <c r="K8" s="21">
        <f t="shared" si="2"/>
        <v>3416667</v>
      </c>
      <c r="L8" s="21">
        <f t="shared" si="2"/>
        <v>3216667</v>
      </c>
      <c r="M8" s="21">
        <f t="shared" si="2"/>
        <v>3466667</v>
      </c>
      <c r="N8" s="21">
        <f t="shared" si="2"/>
        <v>3316667</v>
      </c>
      <c r="O8" s="21">
        <f t="shared" si="2"/>
        <v>2166667</v>
      </c>
      <c r="P8" s="21">
        <f t="shared" si="2"/>
        <v>2816667</v>
      </c>
      <c r="Q8" s="21">
        <f t="shared" si="2"/>
        <v>3166667</v>
      </c>
      <c r="R8" s="21">
        <f t="shared" si="2"/>
        <v>1800000</v>
      </c>
      <c r="S8" s="21">
        <f t="shared" si="2"/>
        <v>2050000</v>
      </c>
      <c r="T8" s="21">
        <f t="shared" si="2"/>
        <v>1750000</v>
      </c>
      <c r="U8" s="21">
        <f t="shared" si="2"/>
        <v>1700000</v>
      </c>
      <c r="V8" s="21">
        <f t="shared" si="2"/>
        <v>2200000</v>
      </c>
      <c r="W8" s="21">
        <f t="shared" si="2"/>
        <v>500000</v>
      </c>
      <c r="X8" s="21">
        <f t="shared" si="2"/>
        <v>500000</v>
      </c>
      <c r="Y8" s="21">
        <f t="shared" si="2"/>
        <v>500000</v>
      </c>
      <c r="Z8" s="21">
        <f t="shared" si="2"/>
        <v>300000</v>
      </c>
      <c r="AA8" s="21">
        <f t="shared" si="2"/>
        <v>300000</v>
      </c>
      <c r="AB8" s="21">
        <f t="shared" si="2"/>
        <v>300000</v>
      </c>
      <c r="AC8" s="21">
        <f t="shared" si="2"/>
        <v>300000</v>
      </c>
    </row>
    <row r="9" ht="14.25" customHeight="1">
      <c r="B9" s="24" t="s">
        <v>1</v>
      </c>
      <c r="C9" s="24" t="s">
        <v>31</v>
      </c>
      <c r="D9" s="24" t="s">
        <v>32</v>
      </c>
      <c r="E9" s="24" t="s">
        <v>33</v>
      </c>
      <c r="F9" s="25">
        <v>45597.0</v>
      </c>
      <c r="G9" s="25">
        <v>45627.0</v>
      </c>
      <c r="H9" s="25">
        <v>45658.0</v>
      </c>
      <c r="I9" s="25">
        <v>45689.0</v>
      </c>
      <c r="J9" s="25">
        <v>45717.0</v>
      </c>
      <c r="K9" s="25">
        <v>45748.0</v>
      </c>
      <c r="L9" s="25">
        <v>45778.0</v>
      </c>
      <c r="M9" s="25">
        <v>45809.0</v>
      </c>
      <c r="N9" s="25">
        <v>45839.0</v>
      </c>
      <c r="O9" s="25">
        <v>45870.0</v>
      </c>
      <c r="P9" s="25">
        <v>45901.0</v>
      </c>
      <c r="Q9" s="25">
        <v>45931.0</v>
      </c>
      <c r="R9" s="25">
        <v>45962.0</v>
      </c>
      <c r="S9" s="25">
        <v>45992.0</v>
      </c>
      <c r="T9" s="26">
        <v>46023.0</v>
      </c>
      <c r="U9" s="26">
        <v>46054.0</v>
      </c>
      <c r="V9" s="26">
        <v>46082.0</v>
      </c>
      <c r="W9" s="26">
        <v>46113.0</v>
      </c>
      <c r="X9" s="26">
        <v>46143.0</v>
      </c>
      <c r="Y9" s="26">
        <v>46174.0</v>
      </c>
      <c r="Z9" s="26">
        <v>46204.0</v>
      </c>
      <c r="AA9" s="26">
        <v>46235.0</v>
      </c>
      <c r="AB9" s="26">
        <v>46266.0</v>
      </c>
      <c r="AC9" s="26">
        <v>46296.0</v>
      </c>
    </row>
    <row r="10" ht="14.25" customHeight="1">
      <c r="B10" s="27">
        <v>1.0</v>
      </c>
      <c r="C10" s="28" t="s">
        <v>34</v>
      </c>
      <c r="D10" s="29"/>
      <c r="E10" s="28" t="s">
        <v>35</v>
      </c>
      <c r="F10" s="30">
        <v>100000.0</v>
      </c>
      <c r="G10" s="31">
        <v>600000.0</v>
      </c>
      <c r="H10" s="30">
        <v>100000.0</v>
      </c>
      <c r="I10" s="30">
        <v>100000.0</v>
      </c>
      <c r="J10" s="32"/>
      <c r="K10" s="30">
        <v>100000.0</v>
      </c>
      <c r="L10" s="30">
        <v>400000.0</v>
      </c>
      <c r="M10" s="30">
        <v>100000.0</v>
      </c>
      <c r="N10" s="30">
        <v>100000.0</v>
      </c>
      <c r="O10" s="30">
        <v>100000.0</v>
      </c>
      <c r="P10" s="30">
        <v>100000.0</v>
      </c>
      <c r="Q10" s="30">
        <v>100000.0</v>
      </c>
      <c r="R10" s="32"/>
      <c r="S10" s="30">
        <v>100000.0</v>
      </c>
      <c r="T10" s="30">
        <v>100000.0</v>
      </c>
      <c r="U10" s="30">
        <v>100000.0</v>
      </c>
      <c r="V10" s="30">
        <v>600000.0</v>
      </c>
      <c r="W10" s="30"/>
      <c r="X10" s="30"/>
      <c r="Y10" s="30"/>
      <c r="Z10" s="30"/>
      <c r="AA10" s="30"/>
      <c r="AB10" s="30"/>
      <c r="AC10" s="30"/>
    </row>
    <row r="11" ht="14.25" customHeight="1">
      <c r="B11" s="27">
        <v>2.0</v>
      </c>
      <c r="C11" s="33" t="s">
        <v>36</v>
      </c>
      <c r="D11" s="29"/>
      <c r="E11" s="28"/>
      <c r="F11" s="32"/>
      <c r="G11" s="32"/>
      <c r="H11" s="32"/>
      <c r="I11" s="32"/>
      <c r="J11" s="32"/>
      <c r="K11" s="32"/>
      <c r="L11" s="32"/>
      <c r="M11" s="32"/>
      <c r="N11" s="32"/>
      <c r="O11" s="32"/>
      <c r="P11" s="32"/>
      <c r="Q11" s="32"/>
      <c r="R11" s="32"/>
      <c r="S11" s="32"/>
      <c r="T11" s="32"/>
      <c r="U11" s="32"/>
      <c r="V11" s="32"/>
      <c r="W11" s="32"/>
      <c r="X11" s="32"/>
      <c r="Y11" s="32"/>
      <c r="Z11" s="32"/>
      <c r="AA11" s="32"/>
      <c r="AB11" s="32"/>
      <c r="AC11" s="32"/>
    </row>
    <row r="12" ht="14.25" customHeight="1">
      <c r="B12" s="27">
        <v>3.0</v>
      </c>
      <c r="C12" s="33" t="s">
        <v>37</v>
      </c>
      <c r="D12" s="29"/>
      <c r="E12" s="33"/>
      <c r="F12" s="32"/>
      <c r="G12" s="32"/>
      <c r="H12" s="32"/>
      <c r="I12" s="32"/>
      <c r="J12" s="32"/>
      <c r="K12" s="32"/>
      <c r="L12" s="32"/>
      <c r="M12" s="32"/>
      <c r="N12" s="32"/>
      <c r="O12" s="32"/>
      <c r="P12" s="32"/>
      <c r="Q12" s="32"/>
      <c r="R12" s="32"/>
      <c r="S12" s="32"/>
      <c r="T12" s="32"/>
      <c r="U12" s="32"/>
      <c r="V12" s="32"/>
      <c r="W12" s="32"/>
      <c r="X12" s="32"/>
      <c r="Y12" s="32"/>
      <c r="Z12" s="32"/>
      <c r="AA12" s="32"/>
      <c r="AB12" s="32"/>
      <c r="AC12" s="32"/>
    </row>
    <row r="13" ht="14.25" customHeight="1">
      <c r="B13" s="27">
        <v>4.0</v>
      </c>
      <c r="C13" s="33" t="s">
        <v>38</v>
      </c>
      <c r="D13" s="29"/>
      <c r="E13" s="33"/>
      <c r="F13" s="32"/>
      <c r="G13" s="30">
        <v>100000.0</v>
      </c>
      <c r="H13" s="32"/>
      <c r="I13" s="32"/>
      <c r="J13" s="30">
        <v>200000.0</v>
      </c>
      <c r="K13" s="32"/>
      <c r="L13" s="32"/>
      <c r="M13" s="32"/>
      <c r="N13" s="32"/>
      <c r="O13" s="32"/>
      <c r="P13" s="32"/>
      <c r="Q13" s="32"/>
      <c r="R13" s="32"/>
      <c r="S13" s="32"/>
      <c r="T13" s="32"/>
      <c r="U13" s="32"/>
      <c r="V13" s="30"/>
      <c r="W13" s="32"/>
      <c r="X13" s="32"/>
      <c r="Y13" s="32"/>
      <c r="Z13" s="32"/>
      <c r="AA13" s="32"/>
      <c r="AB13" s="32"/>
      <c r="AC13" s="32"/>
    </row>
    <row r="14" ht="14.25" customHeight="1">
      <c r="B14" s="27">
        <v>5.0</v>
      </c>
      <c r="C14" s="33" t="s">
        <v>39</v>
      </c>
      <c r="D14" s="29"/>
      <c r="E14" s="33"/>
      <c r="F14" s="32"/>
      <c r="G14" s="32"/>
      <c r="H14" s="32"/>
      <c r="I14" s="32"/>
      <c r="J14" s="32"/>
      <c r="K14" s="32"/>
      <c r="L14" s="32"/>
      <c r="M14" s="32"/>
      <c r="N14" s="32"/>
      <c r="O14" s="32"/>
      <c r="P14" s="32"/>
      <c r="Q14" s="32"/>
      <c r="R14" s="32"/>
      <c r="S14" s="32"/>
      <c r="T14" s="32"/>
      <c r="U14" s="32"/>
      <c r="V14" s="32"/>
      <c r="W14" s="32"/>
      <c r="X14" s="32"/>
      <c r="Y14" s="32"/>
      <c r="Z14" s="32"/>
      <c r="AA14" s="32"/>
      <c r="AB14" s="32"/>
      <c r="AC14" s="32"/>
    </row>
    <row r="15" ht="14.25" customHeight="1">
      <c r="B15" s="27">
        <v>6.0</v>
      </c>
      <c r="C15" s="33" t="s">
        <v>40</v>
      </c>
      <c r="D15" s="34">
        <v>100000.0</v>
      </c>
      <c r="E15" s="28" t="s">
        <v>41</v>
      </c>
      <c r="F15" s="30">
        <v>100000.0</v>
      </c>
      <c r="G15" s="30">
        <v>200000.0</v>
      </c>
      <c r="H15" s="32"/>
      <c r="I15" s="30">
        <v>400000.0</v>
      </c>
      <c r="J15" s="30">
        <v>200000.0</v>
      </c>
      <c r="K15" s="32"/>
      <c r="L15" s="30">
        <v>500000.0</v>
      </c>
      <c r="M15" s="30">
        <v>200000.0</v>
      </c>
      <c r="N15" s="30">
        <v>200000.0</v>
      </c>
      <c r="O15" s="32"/>
      <c r="P15" s="32"/>
      <c r="Q15" s="30">
        <v>200000.0</v>
      </c>
      <c r="R15" s="32"/>
      <c r="S15" s="30">
        <v>200000.0</v>
      </c>
      <c r="T15" s="32"/>
      <c r="U15" s="30"/>
      <c r="V15" s="30">
        <v>100000.0</v>
      </c>
      <c r="W15" s="32"/>
      <c r="X15" s="30"/>
      <c r="Y15" s="30"/>
      <c r="Z15" s="30"/>
      <c r="AA15" s="32"/>
      <c r="AB15" s="32"/>
      <c r="AC15" s="30"/>
    </row>
    <row r="16" ht="14.25" customHeight="1">
      <c r="B16" s="27">
        <v>7.0</v>
      </c>
      <c r="C16" s="33" t="s">
        <v>42</v>
      </c>
      <c r="D16" s="29"/>
      <c r="E16" s="33"/>
      <c r="F16" s="32"/>
      <c r="G16" s="32"/>
      <c r="H16" s="32"/>
      <c r="I16" s="32"/>
      <c r="J16" s="32"/>
      <c r="K16" s="32"/>
      <c r="L16" s="32"/>
      <c r="M16" s="35"/>
      <c r="N16" s="32"/>
      <c r="O16" s="32"/>
      <c r="P16" s="32"/>
      <c r="Q16" s="32"/>
      <c r="R16" s="32"/>
      <c r="S16" s="32"/>
      <c r="T16" s="32"/>
      <c r="U16" s="32"/>
      <c r="V16" s="32"/>
      <c r="W16" s="32"/>
      <c r="X16" s="32"/>
      <c r="Y16" s="35"/>
      <c r="Z16" s="32"/>
      <c r="AA16" s="32"/>
      <c r="AB16" s="32"/>
      <c r="AC16" s="32"/>
    </row>
    <row r="17" ht="14.25" customHeight="1">
      <c r="B17" s="27">
        <v>8.0</v>
      </c>
      <c r="C17" s="33" t="s">
        <v>43</v>
      </c>
      <c r="D17" s="29"/>
      <c r="E17" s="33"/>
      <c r="F17" s="32"/>
      <c r="G17" s="32"/>
      <c r="H17" s="30">
        <v>500000.0</v>
      </c>
      <c r="I17" s="32"/>
      <c r="J17" s="32"/>
      <c r="K17" s="30">
        <v>500000.0</v>
      </c>
      <c r="L17" s="32"/>
      <c r="M17" s="32"/>
      <c r="N17" s="32"/>
      <c r="O17" s="32"/>
      <c r="P17" s="32"/>
      <c r="Q17" s="32"/>
      <c r="R17" s="32"/>
      <c r="S17" s="32"/>
      <c r="T17" s="30"/>
      <c r="U17" s="32"/>
      <c r="V17" s="32"/>
      <c r="W17" s="30"/>
      <c r="X17" s="32"/>
      <c r="Y17" s="32"/>
      <c r="Z17" s="32"/>
      <c r="AA17" s="32"/>
      <c r="AB17" s="32"/>
      <c r="AC17" s="32"/>
    </row>
    <row r="18" ht="14.25" customHeight="1">
      <c r="B18" s="27">
        <v>9.0</v>
      </c>
      <c r="C18" s="33" t="s">
        <v>44</v>
      </c>
      <c r="D18" s="29"/>
      <c r="E18" s="33"/>
      <c r="F18" s="32"/>
      <c r="G18" s="32"/>
      <c r="H18" s="32"/>
      <c r="I18" s="32"/>
      <c r="J18" s="32"/>
      <c r="K18" s="32"/>
      <c r="L18" s="32"/>
      <c r="M18" s="32"/>
      <c r="N18" s="32"/>
      <c r="O18" s="32"/>
      <c r="P18" s="32"/>
      <c r="Q18" s="32"/>
      <c r="R18" s="32"/>
      <c r="S18" s="32"/>
      <c r="T18" s="32"/>
      <c r="U18" s="32"/>
      <c r="V18" s="32"/>
      <c r="W18" s="32"/>
      <c r="X18" s="32"/>
      <c r="Y18" s="32"/>
      <c r="Z18" s="32"/>
      <c r="AA18" s="32"/>
      <c r="AB18" s="32"/>
      <c r="AC18" s="32"/>
    </row>
    <row r="19" ht="14.25" customHeight="1">
      <c r="B19" s="27">
        <v>10.0</v>
      </c>
      <c r="C19" s="33" t="s">
        <v>45</v>
      </c>
      <c r="D19" s="29"/>
      <c r="E19" s="33"/>
      <c r="F19" s="32"/>
      <c r="G19" s="32"/>
      <c r="H19" s="32"/>
      <c r="I19" s="32"/>
      <c r="J19" s="32"/>
      <c r="K19" s="32"/>
      <c r="L19" s="32"/>
      <c r="M19" s="32"/>
      <c r="N19" s="32"/>
      <c r="O19" s="32"/>
      <c r="P19" s="32"/>
      <c r="Q19" s="32"/>
      <c r="R19" s="32"/>
      <c r="S19" s="32"/>
      <c r="T19" s="32"/>
      <c r="U19" s="32"/>
      <c r="V19" s="32"/>
      <c r="W19" s="32"/>
      <c r="X19" s="32"/>
      <c r="Y19" s="32"/>
      <c r="Z19" s="32"/>
      <c r="AA19" s="32"/>
      <c r="AB19" s="32"/>
      <c r="AC19" s="32"/>
    </row>
    <row r="20" ht="14.25" customHeight="1">
      <c r="B20" s="27">
        <v>11.0</v>
      </c>
      <c r="C20" s="33" t="s">
        <v>46</v>
      </c>
      <c r="D20" s="29"/>
      <c r="E20" s="28" t="s">
        <v>35</v>
      </c>
      <c r="F20" s="30">
        <v>200000.0</v>
      </c>
      <c r="G20" s="32"/>
      <c r="H20" s="32"/>
      <c r="I20" s="32"/>
      <c r="J20" s="32"/>
      <c r="K20" s="32"/>
      <c r="L20" s="32"/>
      <c r="M20" s="30">
        <v>300000.0</v>
      </c>
      <c r="N20" s="32"/>
      <c r="O20" s="32"/>
      <c r="P20" s="32"/>
      <c r="Q20" s="32"/>
      <c r="R20" s="32"/>
      <c r="S20" s="32"/>
      <c r="T20" s="32"/>
      <c r="U20" s="32"/>
      <c r="V20" s="32"/>
      <c r="W20" s="32"/>
      <c r="X20" s="32"/>
      <c r="Y20" s="30"/>
      <c r="Z20" s="32"/>
      <c r="AA20" s="32"/>
      <c r="AB20" s="32"/>
      <c r="AC20" s="32"/>
    </row>
    <row r="21" ht="14.25" customHeight="1">
      <c r="B21" s="27">
        <v>12.0</v>
      </c>
      <c r="C21" s="33" t="s">
        <v>47</v>
      </c>
      <c r="D21" s="29"/>
      <c r="E21" s="33"/>
      <c r="F21" s="32"/>
      <c r="G21" s="32"/>
      <c r="H21" s="32"/>
      <c r="I21" s="32"/>
      <c r="J21" s="32"/>
      <c r="K21" s="32"/>
      <c r="L21" s="32"/>
      <c r="M21" s="32"/>
      <c r="N21" s="32"/>
      <c r="O21" s="32"/>
      <c r="P21" s="32"/>
      <c r="Q21" s="32"/>
      <c r="R21" s="32"/>
      <c r="S21" s="32"/>
      <c r="T21" s="32"/>
      <c r="U21" s="32"/>
      <c r="V21" s="32"/>
      <c r="W21" s="32"/>
      <c r="X21" s="32"/>
      <c r="Y21" s="32"/>
      <c r="Z21" s="32"/>
      <c r="AA21" s="32"/>
      <c r="AB21" s="32"/>
      <c r="AC21" s="32"/>
    </row>
    <row r="22" ht="14.25" customHeight="1">
      <c r="B22" s="27">
        <v>13.0</v>
      </c>
      <c r="C22" s="33" t="s">
        <v>48</v>
      </c>
      <c r="D22" s="29"/>
      <c r="E22" s="33"/>
      <c r="F22" s="32"/>
      <c r="G22" s="32"/>
      <c r="H22" s="32"/>
      <c r="I22" s="32"/>
      <c r="J22" s="32"/>
      <c r="K22" s="32"/>
      <c r="L22" s="32"/>
      <c r="M22" s="32"/>
      <c r="N22" s="32"/>
      <c r="O22" s="32"/>
      <c r="P22" s="32"/>
      <c r="Q22" s="32"/>
      <c r="R22" s="32"/>
      <c r="S22" s="32"/>
      <c r="T22" s="32"/>
      <c r="U22" s="32"/>
      <c r="V22" s="32"/>
      <c r="W22" s="32"/>
      <c r="X22" s="32"/>
      <c r="Y22" s="32"/>
      <c r="Z22" s="32"/>
      <c r="AA22" s="32"/>
      <c r="AB22" s="32"/>
      <c r="AC22" s="32"/>
    </row>
    <row r="23" ht="14.25" customHeight="1">
      <c r="B23" s="27">
        <v>14.0</v>
      </c>
      <c r="C23" s="33" t="s">
        <v>49</v>
      </c>
      <c r="D23" s="29"/>
      <c r="E23" s="33"/>
      <c r="F23" s="32"/>
      <c r="G23" s="32"/>
      <c r="H23" s="32"/>
      <c r="I23" s="32"/>
      <c r="J23" s="32"/>
      <c r="K23" s="30">
        <v>200000.0</v>
      </c>
      <c r="L23" s="32"/>
      <c r="M23" s="32"/>
      <c r="N23" s="32"/>
      <c r="O23" s="32"/>
      <c r="P23" s="32"/>
      <c r="Q23" s="32"/>
      <c r="R23" s="32"/>
      <c r="S23" s="32"/>
      <c r="T23" s="30">
        <v>200000.0</v>
      </c>
      <c r="U23" s="32"/>
      <c r="V23" s="32"/>
      <c r="W23" s="30"/>
      <c r="X23" s="32"/>
      <c r="Y23" s="32"/>
      <c r="Z23" s="32"/>
      <c r="AA23" s="32"/>
      <c r="AB23" s="32"/>
      <c r="AC23" s="32"/>
    </row>
    <row r="24" ht="14.25" customHeight="1">
      <c r="B24" s="27">
        <v>15.0</v>
      </c>
      <c r="C24" s="33" t="s">
        <v>50</v>
      </c>
      <c r="D24" s="29"/>
      <c r="E24" s="33"/>
      <c r="F24" s="32"/>
      <c r="G24" s="32"/>
      <c r="H24" s="32"/>
      <c r="I24" s="32"/>
      <c r="J24" s="32"/>
      <c r="K24" s="32"/>
      <c r="L24" s="32"/>
      <c r="M24" s="32"/>
      <c r="N24" s="32"/>
      <c r="O24" s="32"/>
      <c r="P24" s="32"/>
      <c r="Q24" s="32"/>
      <c r="R24" s="32"/>
      <c r="S24" s="32"/>
      <c r="T24" s="32"/>
      <c r="U24" s="32"/>
      <c r="V24" s="32"/>
      <c r="W24" s="32"/>
      <c r="X24" s="32"/>
      <c r="Y24" s="32"/>
      <c r="Z24" s="32"/>
      <c r="AA24" s="32"/>
      <c r="AB24" s="32"/>
      <c r="AC24" s="32"/>
    </row>
    <row r="25" ht="14.25" customHeight="1">
      <c r="B25" s="27">
        <v>16.0</v>
      </c>
      <c r="C25" s="33" t="s">
        <v>51</v>
      </c>
      <c r="D25" s="29"/>
      <c r="E25" s="33"/>
      <c r="F25" s="32"/>
      <c r="G25" s="32"/>
      <c r="H25" s="32"/>
      <c r="I25" s="32"/>
      <c r="J25" s="32"/>
      <c r="K25" s="32"/>
      <c r="L25" s="32"/>
      <c r="M25" s="32"/>
      <c r="N25" s="32"/>
      <c r="O25" s="32"/>
      <c r="P25" s="32"/>
      <c r="Q25" s="32"/>
      <c r="R25" s="32"/>
      <c r="S25" s="32"/>
      <c r="T25" s="32"/>
      <c r="U25" s="32"/>
      <c r="V25" s="32"/>
      <c r="W25" s="32"/>
      <c r="X25" s="32"/>
      <c r="Y25" s="32"/>
      <c r="Z25" s="32"/>
      <c r="AA25" s="32"/>
      <c r="AB25" s="32"/>
      <c r="AC25" s="32"/>
    </row>
    <row r="26" ht="14.25" customHeight="1">
      <c r="B26" s="27">
        <v>17.0</v>
      </c>
      <c r="C26" s="33" t="s">
        <v>52</v>
      </c>
      <c r="D26" s="34">
        <v>100000.0</v>
      </c>
      <c r="E26" s="28" t="s">
        <v>41</v>
      </c>
      <c r="F26" s="30">
        <v>100000.0</v>
      </c>
      <c r="G26" s="30">
        <v>100000.0</v>
      </c>
      <c r="H26" s="30">
        <v>100000.0</v>
      </c>
      <c r="I26" s="32"/>
      <c r="J26" s="32"/>
      <c r="K26" s="32"/>
      <c r="L26" s="32"/>
      <c r="M26" s="32"/>
      <c r="N26" s="32"/>
      <c r="O26" s="32"/>
      <c r="P26" s="32"/>
      <c r="Q26" s="32"/>
      <c r="R26" s="32"/>
      <c r="S26" s="32"/>
      <c r="T26" s="30"/>
      <c r="U26" s="32"/>
      <c r="V26" s="32"/>
      <c r="W26" s="32"/>
      <c r="X26" s="32"/>
      <c r="Y26" s="32"/>
      <c r="Z26" s="32"/>
      <c r="AA26" s="32"/>
      <c r="AB26" s="32"/>
      <c r="AC26" s="32"/>
    </row>
    <row r="27" ht="14.25" customHeight="1">
      <c r="B27" s="27">
        <v>18.0</v>
      </c>
      <c r="C27" s="33" t="s">
        <v>53</v>
      </c>
      <c r="D27" s="29"/>
      <c r="E27" s="33"/>
      <c r="F27" s="32"/>
      <c r="G27" s="32"/>
      <c r="H27" s="32"/>
      <c r="I27" s="32"/>
      <c r="J27" s="32"/>
      <c r="K27" s="32"/>
      <c r="L27" s="32"/>
      <c r="M27" s="32"/>
      <c r="N27" s="32"/>
      <c r="O27" s="32"/>
      <c r="P27" s="32"/>
      <c r="Q27" s="32"/>
      <c r="R27" s="32"/>
      <c r="S27" s="32"/>
      <c r="T27" s="32"/>
      <c r="U27" s="32"/>
      <c r="V27" s="32"/>
      <c r="W27" s="32"/>
      <c r="X27" s="32"/>
      <c r="Y27" s="32"/>
      <c r="Z27" s="32"/>
      <c r="AA27" s="32"/>
      <c r="AB27" s="32"/>
      <c r="AC27" s="32"/>
    </row>
    <row r="28" ht="14.25" customHeight="1">
      <c r="B28" s="27">
        <v>19.0</v>
      </c>
      <c r="C28" s="33" t="s">
        <v>54</v>
      </c>
      <c r="D28" s="29"/>
      <c r="E28" s="33"/>
      <c r="F28" s="32"/>
      <c r="G28" s="32"/>
      <c r="H28" s="32"/>
      <c r="I28" s="32"/>
      <c r="J28" s="32"/>
      <c r="K28" s="32"/>
      <c r="L28" s="32"/>
      <c r="M28" s="32"/>
      <c r="N28" s="32"/>
      <c r="O28" s="32"/>
      <c r="P28" s="32"/>
      <c r="Q28" s="32"/>
      <c r="R28" s="32"/>
      <c r="S28" s="32"/>
      <c r="T28" s="32"/>
      <c r="U28" s="32"/>
      <c r="V28" s="32"/>
      <c r="W28" s="32"/>
      <c r="X28" s="32"/>
      <c r="Y28" s="32"/>
      <c r="Z28" s="32"/>
      <c r="AA28" s="32"/>
      <c r="AB28" s="32"/>
      <c r="AC28" s="32"/>
    </row>
    <row r="29" ht="14.25" customHeight="1">
      <c r="B29" s="27">
        <v>20.0</v>
      </c>
      <c r="C29" s="33" t="s">
        <v>55</v>
      </c>
      <c r="D29" s="29"/>
      <c r="E29" s="33"/>
      <c r="F29" s="32"/>
      <c r="G29" s="32"/>
      <c r="H29" s="32"/>
      <c r="I29" s="32"/>
      <c r="J29" s="32"/>
      <c r="K29" s="32"/>
      <c r="L29" s="32"/>
      <c r="M29" s="32"/>
      <c r="N29" s="32"/>
      <c r="O29" s="30">
        <v>200000.0</v>
      </c>
      <c r="P29" s="32"/>
      <c r="Q29" s="32"/>
      <c r="R29" s="32"/>
      <c r="S29" s="30">
        <v>100000.0</v>
      </c>
      <c r="T29" s="32"/>
      <c r="U29" s="30"/>
      <c r="V29" s="30">
        <v>200000.0</v>
      </c>
      <c r="W29" s="32"/>
      <c r="X29" s="32"/>
      <c r="Y29" s="32"/>
      <c r="Z29" s="32"/>
      <c r="AA29" s="30"/>
      <c r="AB29" s="32"/>
      <c r="AC29" s="32"/>
    </row>
    <row r="30" ht="14.25" customHeight="1">
      <c r="B30" s="27">
        <v>21.0</v>
      </c>
      <c r="C30" s="33" t="s">
        <v>56</v>
      </c>
      <c r="D30" s="34">
        <v>200000.0</v>
      </c>
      <c r="E30" s="28" t="s">
        <v>41</v>
      </c>
      <c r="F30" s="30">
        <v>200000.0</v>
      </c>
      <c r="G30" s="30">
        <v>200000.0</v>
      </c>
      <c r="H30" s="30">
        <v>200000.0</v>
      </c>
      <c r="I30" s="30">
        <v>200000.0</v>
      </c>
      <c r="J30" s="30">
        <v>200000.0</v>
      </c>
      <c r="K30" s="30">
        <v>200000.0</v>
      </c>
      <c r="L30" s="30">
        <v>200000.0</v>
      </c>
      <c r="M30" s="30">
        <v>200000.0</v>
      </c>
      <c r="N30" s="30">
        <v>200000.0</v>
      </c>
      <c r="O30" s="30">
        <v>200000.0</v>
      </c>
      <c r="P30" s="32"/>
      <c r="Q30" s="30">
        <v>200000.0</v>
      </c>
      <c r="R30" s="30">
        <v>200000.0</v>
      </c>
      <c r="S30" s="30">
        <v>200000.0</v>
      </c>
      <c r="T30" s="30"/>
      <c r="U30" s="30">
        <v>200000.0</v>
      </c>
      <c r="V30" s="30"/>
      <c r="W30" s="30"/>
      <c r="X30" s="30"/>
      <c r="Y30" s="30"/>
      <c r="Z30" s="30"/>
      <c r="AA30" s="30"/>
      <c r="AB30" s="32"/>
      <c r="AC30" s="30"/>
    </row>
    <row r="31" ht="14.25" customHeight="1">
      <c r="B31" s="27">
        <v>22.0</v>
      </c>
      <c r="C31" s="33" t="s">
        <v>57</v>
      </c>
      <c r="D31" s="29"/>
      <c r="E31" s="33"/>
      <c r="F31" s="32"/>
      <c r="G31" s="32"/>
      <c r="H31" s="32"/>
      <c r="I31" s="32"/>
      <c r="J31" s="32"/>
      <c r="K31" s="32"/>
      <c r="L31" s="32"/>
      <c r="M31" s="32"/>
      <c r="N31" s="32"/>
      <c r="O31" s="32"/>
      <c r="P31" s="32"/>
      <c r="Q31" s="32"/>
      <c r="R31" s="32"/>
      <c r="S31" s="32"/>
      <c r="T31" s="32"/>
      <c r="U31" s="32"/>
      <c r="V31" s="32"/>
      <c r="W31" s="32"/>
      <c r="X31" s="32"/>
      <c r="Y31" s="32"/>
      <c r="Z31" s="32"/>
      <c r="AA31" s="32"/>
      <c r="AB31" s="32"/>
      <c r="AC31" s="32"/>
    </row>
    <row r="32" ht="14.25" customHeight="1">
      <c r="B32" s="27">
        <v>23.0</v>
      </c>
      <c r="C32" s="33" t="s">
        <v>58</v>
      </c>
      <c r="D32" s="34">
        <v>150000.0</v>
      </c>
      <c r="E32" s="28" t="s">
        <v>41</v>
      </c>
      <c r="F32" s="30">
        <v>200000.0</v>
      </c>
      <c r="G32" s="30">
        <v>200000.0</v>
      </c>
      <c r="H32" s="30">
        <v>200000.0</v>
      </c>
      <c r="I32" s="30">
        <v>250000.0</v>
      </c>
      <c r="J32" s="30">
        <v>200000.0</v>
      </c>
      <c r="K32" s="30">
        <v>200000.0</v>
      </c>
      <c r="L32" s="30">
        <v>200000.0</v>
      </c>
      <c r="M32" s="30">
        <v>200000.0</v>
      </c>
      <c r="N32" s="30">
        <v>200000.0</v>
      </c>
      <c r="O32" s="30">
        <v>200000.0</v>
      </c>
      <c r="P32" s="32"/>
      <c r="Q32" s="30">
        <v>400000.0</v>
      </c>
      <c r="R32" s="30">
        <v>200000.0</v>
      </c>
      <c r="S32" s="30">
        <v>200000.0</v>
      </c>
      <c r="T32" s="30"/>
      <c r="U32" s="30">
        <v>200000.0</v>
      </c>
      <c r="V32" s="30"/>
      <c r="W32" s="30"/>
      <c r="X32" s="30"/>
      <c r="Y32" s="30"/>
      <c r="Z32" s="30"/>
      <c r="AA32" s="30"/>
      <c r="AB32" s="32"/>
      <c r="AC32" s="30"/>
    </row>
    <row r="33" ht="14.25" customHeight="1">
      <c r="B33" s="27">
        <v>24.0</v>
      </c>
      <c r="C33" s="33" t="s">
        <v>59</v>
      </c>
      <c r="D33" s="29"/>
      <c r="E33" s="33"/>
      <c r="F33" s="32"/>
      <c r="G33" s="32"/>
      <c r="H33" s="32"/>
      <c r="I33" s="32"/>
      <c r="J33" s="32"/>
      <c r="K33" s="32"/>
      <c r="L33" s="32"/>
      <c r="M33" s="32"/>
      <c r="N33" s="32"/>
      <c r="O33" s="32"/>
      <c r="P33" s="32"/>
      <c r="Q33" s="32"/>
      <c r="R33" s="32"/>
      <c r="S33" s="32"/>
      <c r="T33" s="32"/>
      <c r="U33" s="32"/>
      <c r="V33" s="32"/>
      <c r="W33" s="32"/>
      <c r="X33" s="32"/>
      <c r="Y33" s="32"/>
      <c r="Z33" s="32"/>
      <c r="AA33" s="32"/>
      <c r="AB33" s="32"/>
      <c r="AC33" s="32"/>
    </row>
    <row r="34" ht="14.25" customHeight="1">
      <c r="B34" s="27">
        <v>25.0</v>
      </c>
      <c r="C34" s="33" t="s">
        <v>60</v>
      </c>
      <c r="D34" s="29"/>
      <c r="E34" s="33"/>
      <c r="F34" s="32"/>
      <c r="G34" s="32"/>
      <c r="H34" s="32"/>
      <c r="I34" s="32"/>
      <c r="J34" s="32"/>
      <c r="K34" s="32"/>
      <c r="L34" s="32"/>
      <c r="M34" s="32"/>
      <c r="N34" s="32"/>
      <c r="O34" s="32"/>
      <c r="P34" s="32"/>
      <c r="Q34" s="32"/>
      <c r="R34" s="32"/>
      <c r="S34" s="32"/>
      <c r="T34" s="32"/>
      <c r="U34" s="32"/>
      <c r="V34" s="32"/>
      <c r="W34" s="32"/>
      <c r="X34" s="32"/>
      <c r="Y34" s="32"/>
      <c r="Z34" s="32"/>
      <c r="AA34" s="32"/>
      <c r="AB34" s="32"/>
      <c r="AC34" s="32"/>
    </row>
    <row r="35" ht="14.25" customHeight="1">
      <c r="B35" s="27">
        <v>26.0</v>
      </c>
      <c r="C35" s="33" t="s">
        <v>61</v>
      </c>
      <c r="D35" s="29"/>
      <c r="E35" s="33"/>
      <c r="F35" s="32"/>
      <c r="G35" s="32"/>
      <c r="H35" s="32"/>
      <c r="I35" s="32"/>
      <c r="J35" s="32"/>
      <c r="K35" s="32"/>
      <c r="L35" s="32"/>
      <c r="M35" s="32"/>
      <c r="N35" s="32"/>
      <c r="O35" s="32"/>
      <c r="P35" s="32"/>
      <c r="Q35" s="32"/>
      <c r="R35" s="32"/>
      <c r="S35" s="32"/>
      <c r="T35" s="32"/>
      <c r="U35" s="32"/>
      <c r="V35" s="32"/>
      <c r="W35" s="32"/>
      <c r="X35" s="32"/>
      <c r="Y35" s="32"/>
      <c r="Z35" s="32"/>
      <c r="AA35" s="32"/>
      <c r="AB35" s="32"/>
      <c r="AC35" s="32"/>
    </row>
    <row r="36" ht="14.25" customHeight="1">
      <c r="B36" s="27">
        <v>27.0</v>
      </c>
      <c r="C36" s="33" t="s">
        <v>62</v>
      </c>
      <c r="D36" s="29"/>
      <c r="E36" s="33"/>
      <c r="F36" s="32"/>
      <c r="G36" s="32"/>
      <c r="H36" s="32"/>
      <c r="I36" s="32"/>
      <c r="J36" s="32"/>
      <c r="K36" s="32"/>
      <c r="L36" s="32"/>
      <c r="M36" s="32"/>
      <c r="N36" s="32"/>
      <c r="O36" s="32"/>
      <c r="P36" s="32"/>
      <c r="Q36" s="32"/>
      <c r="R36" s="32"/>
      <c r="S36" s="32"/>
      <c r="T36" s="32"/>
      <c r="U36" s="32"/>
      <c r="V36" s="32"/>
      <c r="W36" s="32"/>
      <c r="X36" s="32"/>
      <c r="Y36" s="32"/>
      <c r="Z36" s="32"/>
      <c r="AA36" s="32"/>
      <c r="AB36" s="32"/>
      <c r="AC36" s="32"/>
    </row>
    <row r="37" ht="14.25" customHeight="1">
      <c r="B37" s="27">
        <v>28.0</v>
      </c>
      <c r="C37" s="33" t="s">
        <v>63</v>
      </c>
      <c r="D37" s="29"/>
      <c r="E37" s="28"/>
      <c r="F37" s="32"/>
      <c r="G37" s="30">
        <v>500000.0</v>
      </c>
      <c r="H37" s="32"/>
      <c r="I37" s="32"/>
      <c r="J37" s="32"/>
      <c r="K37" s="32"/>
      <c r="L37" s="32"/>
      <c r="M37" s="30">
        <v>350000.0</v>
      </c>
      <c r="N37" s="32"/>
      <c r="O37" s="30">
        <v>150000.0</v>
      </c>
      <c r="P37" s="32"/>
      <c r="Q37" s="30">
        <v>150000.0</v>
      </c>
      <c r="R37" s="32"/>
      <c r="S37" s="32"/>
      <c r="T37" s="30">
        <v>150000.0</v>
      </c>
      <c r="U37" s="30">
        <v>150000.0</v>
      </c>
      <c r="V37" s="32"/>
      <c r="W37" s="32"/>
      <c r="X37" s="32"/>
      <c r="Y37" s="30"/>
      <c r="Z37" s="32"/>
      <c r="AA37" s="30"/>
      <c r="AB37" s="32"/>
      <c r="AC37" s="30"/>
    </row>
    <row r="38" ht="14.25" customHeight="1">
      <c r="B38" s="27">
        <v>29.0</v>
      </c>
      <c r="C38" s="33" t="s">
        <v>64</v>
      </c>
      <c r="D38" s="34">
        <v>200000.0</v>
      </c>
      <c r="E38" s="28" t="s">
        <v>65</v>
      </c>
      <c r="F38" s="30">
        <v>200000.0</v>
      </c>
      <c r="G38" s="32"/>
      <c r="H38" s="32"/>
      <c r="I38" s="30">
        <v>500000.0</v>
      </c>
      <c r="J38" s="32"/>
      <c r="K38" s="32"/>
      <c r="L38" s="32"/>
      <c r="M38" s="32"/>
      <c r="N38" s="32"/>
      <c r="O38" s="32"/>
      <c r="P38" s="32"/>
      <c r="Q38" s="32"/>
      <c r="R38" s="32"/>
      <c r="S38" s="32"/>
      <c r="T38" s="32"/>
      <c r="U38" s="30"/>
      <c r="V38" s="32"/>
      <c r="W38" s="32"/>
      <c r="X38" s="32"/>
      <c r="Y38" s="32"/>
      <c r="Z38" s="32"/>
      <c r="AA38" s="32"/>
      <c r="AB38" s="32"/>
      <c r="AC38" s="32"/>
    </row>
    <row r="39" ht="14.25" customHeight="1">
      <c r="B39" s="27">
        <v>30.0</v>
      </c>
      <c r="C39" s="33" t="s">
        <v>66</v>
      </c>
      <c r="D39" s="29"/>
      <c r="E39" s="33"/>
      <c r="F39" s="32"/>
      <c r="G39" s="32"/>
      <c r="H39" s="32"/>
      <c r="I39" s="32"/>
      <c r="J39" s="32"/>
      <c r="K39" s="32"/>
      <c r="L39" s="32"/>
      <c r="M39" s="32"/>
      <c r="N39" s="32"/>
      <c r="O39" s="32"/>
      <c r="P39" s="32"/>
      <c r="Q39" s="32"/>
      <c r="R39" s="32"/>
      <c r="S39" s="32"/>
      <c r="T39" s="32"/>
      <c r="U39" s="32"/>
      <c r="V39" s="32"/>
      <c r="W39" s="32"/>
      <c r="X39" s="32"/>
      <c r="Y39" s="32"/>
      <c r="Z39" s="32"/>
      <c r="AA39" s="32"/>
      <c r="AB39" s="32"/>
      <c r="AC39" s="32"/>
    </row>
    <row r="40" ht="14.25" customHeight="1">
      <c r="B40" s="27">
        <v>31.0</v>
      </c>
      <c r="C40" s="33" t="s">
        <v>67</v>
      </c>
      <c r="D40" s="29"/>
      <c r="E40" s="33"/>
      <c r="F40" s="30">
        <v>300000.0</v>
      </c>
      <c r="G40" s="30">
        <v>300000.0</v>
      </c>
      <c r="H40" s="32"/>
      <c r="I40" s="30">
        <v>300000.0</v>
      </c>
      <c r="J40" s="32"/>
      <c r="K40" s="32"/>
      <c r="L40" s="32"/>
      <c r="M40" s="32"/>
      <c r="N40" s="30">
        <v>300000.0</v>
      </c>
      <c r="O40" s="32"/>
      <c r="P40" s="30">
        <v>600000.0</v>
      </c>
      <c r="Q40" s="30">
        <v>300000.0</v>
      </c>
      <c r="R40" s="30">
        <v>300000.0</v>
      </c>
      <c r="S40" s="32"/>
      <c r="T40" s="32"/>
      <c r="U40" s="30"/>
      <c r="V40" s="30">
        <v>300000.0</v>
      </c>
      <c r="W40" s="32"/>
      <c r="X40" s="32"/>
      <c r="Y40" s="32"/>
      <c r="Z40" s="30"/>
      <c r="AA40" s="32"/>
      <c r="AB40" s="30"/>
      <c r="AC40" s="30"/>
    </row>
    <row r="41" ht="14.25" customHeight="1">
      <c r="B41" s="27">
        <v>32.0</v>
      </c>
      <c r="C41" s="33" t="s">
        <v>68</v>
      </c>
      <c r="D41" s="29"/>
      <c r="E41" s="33"/>
      <c r="F41" s="32"/>
      <c r="G41" s="30"/>
      <c r="H41" s="30">
        <v>100000.0</v>
      </c>
      <c r="I41" s="32"/>
      <c r="J41" s="32"/>
      <c r="K41" s="32"/>
      <c r="L41" s="32"/>
      <c r="M41" s="30">
        <v>100000.0</v>
      </c>
      <c r="N41" s="32"/>
      <c r="O41" s="32"/>
      <c r="P41" s="32"/>
      <c r="Q41" s="32"/>
      <c r="R41" s="32"/>
      <c r="S41" s="32"/>
      <c r="T41" s="30"/>
      <c r="U41" s="32"/>
      <c r="V41" s="32"/>
      <c r="W41" s="32"/>
      <c r="X41" s="32"/>
      <c r="Y41" s="30"/>
      <c r="Z41" s="32"/>
      <c r="AA41" s="32"/>
      <c r="AB41" s="32"/>
      <c r="AC41" s="32"/>
    </row>
    <row r="42" ht="14.25" customHeight="1">
      <c r="B42" s="27">
        <v>33.0</v>
      </c>
      <c r="C42" s="33" t="s">
        <v>69</v>
      </c>
      <c r="D42" s="29"/>
      <c r="E42" s="33"/>
      <c r="F42" s="32"/>
      <c r="G42" s="32"/>
      <c r="H42" s="32"/>
      <c r="I42" s="32"/>
      <c r="J42" s="32"/>
      <c r="K42" s="32"/>
      <c r="L42" s="32"/>
      <c r="M42" s="32"/>
      <c r="N42" s="32"/>
      <c r="O42" s="32"/>
      <c r="P42" s="32"/>
      <c r="Q42" s="32"/>
      <c r="R42" s="32"/>
      <c r="S42" s="32"/>
      <c r="T42" s="32"/>
      <c r="U42" s="32"/>
      <c r="V42" s="32"/>
      <c r="W42" s="32"/>
      <c r="X42" s="32"/>
      <c r="Y42" s="32"/>
      <c r="Z42" s="32"/>
      <c r="AA42" s="32"/>
      <c r="AB42" s="32"/>
      <c r="AC42" s="32"/>
    </row>
    <row r="43" ht="14.25" customHeight="1">
      <c r="B43" s="27">
        <v>34.0</v>
      </c>
      <c r="C43" s="33" t="s">
        <v>70</v>
      </c>
      <c r="D43" s="29"/>
      <c r="E43" s="33"/>
      <c r="F43" s="32"/>
      <c r="G43" s="32"/>
      <c r="H43" s="32"/>
      <c r="I43" s="32"/>
      <c r="J43" s="32"/>
      <c r="K43" s="32"/>
      <c r="L43" s="32"/>
      <c r="M43" s="32"/>
      <c r="N43" s="32"/>
      <c r="O43" s="32"/>
      <c r="P43" s="32"/>
      <c r="Q43" s="32"/>
      <c r="R43" s="32"/>
      <c r="S43" s="32"/>
      <c r="T43" s="32"/>
      <c r="U43" s="32"/>
      <c r="V43" s="32"/>
      <c r="W43" s="32"/>
      <c r="X43" s="32"/>
      <c r="Y43" s="32"/>
      <c r="Z43" s="32"/>
      <c r="AA43" s="32"/>
      <c r="AB43" s="32"/>
      <c r="AC43" s="32"/>
    </row>
    <row r="44" ht="14.25" customHeight="1">
      <c r="B44" s="27">
        <v>35.0</v>
      </c>
      <c r="C44" s="33" t="s">
        <v>71</v>
      </c>
      <c r="D44" s="29"/>
      <c r="E44" s="33"/>
      <c r="F44" s="32"/>
      <c r="G44" s="32"/>
      <c r="H44" s="32"/>
      <c r="I44" s="32"/>
      <c r="J44" s="32"/>
      <c r="K44" s="32"/>
      <c r="L44" s="32"/>
      <c r="M44" s="32"/>
      <c r="N44" s="32"/>
      <c r="O44" s="32"/>
      <c r="P44" s="32"/>
      <c r="Q44" s="32"/>
      <c r="R44" s="32"/>
      <c r="S44" s="32"/>
      <c r="T44" s="32"/>
      <c r="U44" s="32"/>
      <c r="V44" s="32"/>
      <c r="W44" s="32"/>
      <c r="X44" s="32"/>
      <c r="Y44" s="32"/>
      <c r="Z44" s="32"/>
      <c r="AA44" s="32"/>
      <c r="AB44" s="32"/>
      <c r="AC44" s="32"/>
    </row>
    <row r="45" ht="14.25" customHeight="1">
      <c r="B45" s="27">
        <v>36.0</v>
      </c>
      <c r="C45" s="33" t="s">
        <v>72</v>
      </c>
      <c r="D45" s="29"/>
      <c r="E45" s="33"/>
      <c r="F45" s="32"/>
      <c r="G45" s="32"/>
      <c r="H45" s="32"/>
      <c r="I45" s="32"/>
      <c r="J45" s="32"/>
      <c r="K45" s="32"/>
      <c r="L45" s="32"/>
      <c r="M45" s="32"/>
      <c r="N45" s="32"/>
      <c r="O45" s="32"/>
      <c r="P45" s="32"/>
      <c r="Q45" s="32"/>
      <c r="R45" s="32"/>
      <c r="S45" s="32"/>
      <c r="T45" s="30">
        <v>300000.0</v>
      </c>
      <c r="U45" s="32"/>
      <c r="V45" s="32"/>
      <c r="W45" s="32"/>
      <c r="X45" s="32"/>
      <c r="Y45" s="32"/>
      <c r="Z45" s="32"/>
      <c r="AA45" s="32"/>
      <c r="AB45" s="32"/>
      <c r="AC45" s="32"/>
    </row>
    <row r="46" ht="14.25" customHeight="1">
      <c r="B46" s="27">
        <v>37.0</v>
      </c>
      <c r="C46" s="33" t="s">
        <v>73</v>
      </c>
      <c r="D46" s="29"/>
      <c r="E46" s="33"/>
      <c r="F46" s="32"/>
      <c r="G46" s="32"/>
      <c r="H46" s="32"/>
      <c r="I46" s="32"/>
      <c r="J46" s="32"/>
      <c r="K46" s="32"/>
      <c r="L46" s="32"/>
      <c r="M46" s="32"/>
      <c r="N46" s="32"/>
      <c r="O46" s="32"/>
      <c r="P46" s="32"/>
      <c r="Q46" s="32"/>
      <c r="R46" s="32"/>
      <c r="S46" s="32"/>
      <c r="T46" s="32"/>
      <c r="U46" s="32"/>
      <c r="V46" s="32"/>
      <c r="W46" s="32"/>
      <c r="X46" s="32"/>
      <c r="Y46" s="32"/>
      <c r="Z46" s="32"/>
      <c r="AA46" s="32"/>
      <c r="AB46" s="32"/>
      <c r="AC46" s="32"/>
    </row>
    <row r="47" ht="14.25" customHeight="1">
      <c r="B47" s="27">
        <v>38.0</v>
      </c>
      <c r="C47" s="33" t="s">
        <v>74</v>
      </c>
      <c r="D47" s="29"/>
      <c r="E47" s="33"/>
      <c r="F47" s="32"/>
      <c r="G47" s="32"/>
      <c r="H47" s="32"/>
      <c r="I47" s="32"/>
      <c r="J47" s="32"/>
      <c r="K47" s="32"/>
      <c r="L47" s="32"/>
      <c r="M47" s="32"/>
      <c r="N47" s="32"/>
      <c r="O47" s="32"/>
      <c r="P47" s="32"/>
      <c r="Q47" s="32"/>
      <c r="R47" s="32"/>
      <c r="S47" s="32"/>
      <c r="T47" s="32"/>
      <c r="U47" s="32"/>
      <c r="V47" s="32"/>
      <c r="W47" s="32"/>
      <c r="X47" s="32"/>
      <c r="Y47" s="32"/>
      <c r="Z47" s="32"/>
      <c r="AA47" s="32"/>
      <c r="AB47" s="32"/>
      <c r="AC47" s="32"/>
    </row>
    <row r="48" ht="14.25" customHeight="1">
      <c r="B48" s="27">
        <v>39.0</v>
      </c>
      <c r="C48" s="33" t="s">
        <v>75</v>
      </c>
      <c r="D48" s="29"/>
      <c r="E48" s="33"/>
      <c r="F48" s="32"/>
      <c r="G48" s="32"/>
      <c r="H48" s="32"/>
      <c r="I48" s="32"/>
      <c r="J48" s="32"/>
      <c r="K48" s="32"/>
      <c r="L48" s="32"/>
      <c r="M48" s="32"/>
      <c r="N48" s="32"/>
      <c r="O48" s="32"/>
      <c r="P48" s="32"/>
      <c r="Q48" s="32"/>
      <c r="R48" s="32"/>
      <c r="S48" s="32"/>
      <c r="T48" s="32"/>
      <c r="U48" s="32"/>
      <c r="V48" s="32"/>
      <c r="W48" s="32"/>
      <c r="X48" s="32"/>
      <c r="Y48" s="32"/>
      <c r="Z48" s="32"/>
      <c r="AA48" s="32"/>
      <c r="AB48" s="32"/>
      <c r="AC48" s="32"/>
    </row>
    <row r="49" ht="14.25" customHeight="1">
      <c r="B49" s="27">
        <v>40.0</v>
      </c>
      <c r="C49" s="33" t="s">
        <v>76</v>
      </c>
      <c r="D49" s="29"/>
      <c r="E49" s="33"/>
      <c r="F49" s="32"/>
      <c r="G49" s="32"/>
      <c r="H49" s="32"/>
      <c r="I49" s="32"/>
      <c r="J49" s="32"/>
      <c r="K49" s="32"/>
      <c r="L49" s="32"/>
      <c r="M49" s="32"/>
      <c r="N49" s="32"/>
      <c r="O49" s="32"/>
      <c r="P49" s="32"/>
      <c r="Q49" s="32"/>
      <c r="R49" s="32"/>
      <c r="S49" s="32"/>
      <c r="T49" s="32"/>
      <c r="U49" s="32"/>
      <c r="V49" s="32"/>
      <c r="W49" s="32"/>
      <c r="X49" s="32"/>
      <c r="Y49" s="32"/>
      <c r="Z49" s="32"/>
      <c r="AA49" s="32"/>
      <c r="AB49" s="32"/>
      <c r="AC49" s="32"/>
    </row>
    <row r="50" ht="14.25" customHeight="1">
      <c r="B50" s="27">
        <v>41.0</v>
      </c>
      <c r="C50" s="33" t="s">
        <v>77</v>
      </c>
      <c r="D50" s="29"/>
      <c r="E50" s="28" t="s">
        <v>65</v>
      </c>
      <c r="F50" s="32"/>
      <c r="G50" s="32"/>
      <c r="H50" s="30">
        <v>200000.0</v>
      </c>
      <c r="I50" s="30">
        <v>200000.0</v>
      </c>
      <c r="J50" s="30">
        <v>200000.0</v>
      </c>
      <c r="K50" s="30">
        <v>200000.0</v>
      </c>
      <c r="L50" s="30">
        <v>200000.0</v>
      </c>
      <c r="M50" s="30">
        <v>200000.0</v>
      </c>
      <c r="N50" s="32"/>
      <c r="O50" s="32"/>
      <c r="P50" s="32"/>
      <c r="Q50" s="32"/>
      <c r="R50" s="32"/>
      <c r="S50" s="32"/>
      <c r="T50" s="30"/>
      <c r="U50" s="30"/>
      <c r="V50" s="30"/>
      <c r="W50" s="30"/>
      <c r="X50" s="30"/>
      <c r="Y50" s="30"/>
      <c r="Z50" s="32"/>
      <c r="AA50" s="32"/>
      <c r="AB50" s="32"/>
      <c r="AC50" s="32"/>
    </row>
    <row r="51" ht="14.25" customHeight="1">
      <c r="B51" s="27">
        <v>42.0</v>
      </c>
      <c r="C51" s="33" t="s">
        <v>78</v>
      </c>
      <c r="D51" s="29"/>
      <c r="E51" s="33"/>
      <c r="F51" s="32"/>
      <c r="G51" s="32"/>
      <c r="H51" s="32"/>
      <c r="I51" s="32"/>
      <c r="J51" s="30">
        <v>100000.0</v>
      </c>
      <c r="K51" s="30">
        <v>100000.0</v>
      </c>
      <c r="L51" s="30">
        <v>100000.0</v>
      </c>
      <c r="M51" s="30">
        <v>100000.0</v>
      </c>
      <c r="N51" s="30">
        <v>100000.0</v>
      </c>
      <c r="O51" s="30">
        <v>100000.0</v>
      </c>
      <c r="P51" s="30">
        <v>100000.0</v>
      </c>
      <c r="Q51" s="32"/>
      <c r="R51" s="32"/>
      <c r="S51" s="32"/>
      <c r="T51" s="32"/>
      <c r="U51" s="32"/>
      <c r="V51" s="30"/>
      <c r="W51" s="30"/>
      <c r="X51" s="30"/>
      <c r="Y51" s="30"/>
      <c r="Z51" s="30"/>
      <c r="AA51" s="30"/>
      <c r="AB51" s="30"/>
      <c r="AC51" s="32"/>
    </row>
    <row r="52" ht="14.25" customHeight="1">
      <c r="B52" s="27">
        <v>43.0</v>
      </c>
      <c r="C52" s="33" t="s">
        <v>79</v>
      </c>
      <c r="D52" s="29"/>
      <c r="E52" s="33"/>
      <c r="F52" s="32"/>
      <c r="G52" s="32"/>
      <c r="H52" s="32"/>
      <c r="I52" s="32"/>
      <c r="J52" s="32"/>
      <c r="K52" s="32"/>
      <c r="L52" s="32"/>
      <c r="M52" s="32"/>
      <c r="N52" s="32"/>
      <c r="O52" s="32"/>
      <c r="P52" s="32"/>
      <c r="Q52" s="32"/>
      <c r="R52" s="32"/>
      <c r="S52" s="32"/>
      <c r="T52" s="32"/>
      <c r="U52" s="32"/>
      <c r="V52" s="32"/>
      <c r="W52" s="32"/>
      <c r="X52" s="32"/>
      <c r="Y52" s="32"/>
      <c r="Z52" s="32"/>
      <c r="AA52" s="32"/>
      <c r="AB52" s="32"/>
      <c r="AC52" s="32"/>
    </row>
    <row r="53" ht="14.25" customHeight="1">
      <c r="B53" s="27">
        <v>44.0</v>
      </c>
      <c r="C53" s="33" t="s">
        <v>80</v>
      </c>
      <c r="D53" s="29"/>
      <c r="E53" s="33"/>
      <c r="F53" s="32"/>
      <c r="G53" s="32"/>
      <c r="H53" s="32"/>
      <c r="I53" s="32"/>
      <c r="J53" s="32"/>
      <c r="K53" s="32"/>
      <c r="L53" s="32"/>
      <c r="M53" s="32"/>
      <c r="N53" s="32"/>
      <c r="O53" s="32"/>
      <c r="P53" s="32"/>
      <c r="Q53" s="32"/>
      <c r="R53" s="32"/>
      <c r="S53" s="32"/>
      <c r="T53" s="32"/>
      <c r="U53" s="32"/>
      <c r="V53" s="32"/>
      <c r="W53" s="32"/>
      <c r="X53" s="32"/>
      <c r="Y53" s="32"/>
      <c r="Z53" s="32"/>
      <c r="AA53" s="32"/>
      <c r="AB53" s="32"/>
      <c r="AC53" s="32"/>
    </row>
    <row r="54" ht="14.25" customHeight="1">
      <c r="B54" s="27">
        <v>45.0</v>
      </c>
      <c r="C54" s="33" t="s">
        <v>81</v>
      </c>
      <c r="D54" s="29"/>
      <c r="E54" s="28"/>
      <c r="F54" s="32"/>
      <c r="G54" s="32"/>
      <c r="H54" s="32"/>
      <c r="I54" s="32"/>
      <c r="J54" s="32"/>
      <c r="K54" s="32"/>
      <c r="L54" s="32"/>
      <c r="M54" s="32"/>
      <c r="N54" s="32"/>
      <c r="O54" s="32"/>
      <c r="P54" s="32"/>
      <c r="Q54" s="32"/>
      <c r="R54" s="32"/>
      <c r="S54" s="32"/>
      <c r="T54" s="32"/>
      <c r="U54" s="32"/>
      <c r="V54" s="32"/>
      <c r="W54" s="32"/>
      <c r="X54" s="32"/>
      <c r="Y54" s="32"/>
      <c r="Z54" s="32"/>
      <c r="AA54" s="32"/>
      <c r="AB54" s="32"/>
      <c r="AC54" s="32"/>
    </row>
    <row r="55" ht="14.25" customHeight="1">
      <c r="B55" s="27">
        <v>46.0</v>
      </c>
      <c r="C55" s="33" t="s">
        <v>82</v>
      </c>
      <c r="D55" s="29"/>
      <c r="E55" s="33"/>
      <c r="F55" s="32"/>
      <c r="G55" s="32"/>
      <c r="H55" s="32"/>
      <c r="I55" s="32"/>
      <c r="J55" s="32"/>
      <c r="K55" s="32"/>
      <c r="L55" s="32"/>
      <c r="M55" s="32"/>
      <c r="N55" s="32"/>
      <c r="O55" s="32"/>
      <c r="P55" s="32"/>
      <c r="Q55" s="32"/>
      <c r="R55" s="32"/>
      <c r="S55" s="32"/>
      <c r="T55" s="32"/>
      <c r="U55" s="32"/>
      <c r="V55" s="32"/>
      <c r="W55" s="32"/>
      <c r="X55" s="32"/>
      <c r="Y55" s="32"/>
      <c r="Z55" s="32"/>
      <c r="AA55" s="32"/>
      <c r="AB55" s="32"/>
      <c r="AC55" s="32"/>
    </row>
    <row r="56" ht="14.25" customHeight="1">
      <c r="B56" s="27">
        <v>47.0</v>
      </c>
      <c r="C56" s="33" t="s">
        <v>83</v>
      </c>
      <c r="D56" s="29"/>
      <c r="E56" s="33"/>
      <c r="F56" s="32"/>
      <c r="G56" s="32"/>
      <c r="H56" s="32"/>
      <c r="I56" s="32"/>
      <c r="J56" s="32"/>
      <c r="K56" s="32"/>
      <c r="L56" s="32"/>
      <c r="M56" s="32"/>
      <c r="N56" s="32"/>
      <c r="O56" s="32"/>
      <c r="P56" s="32"/>
      <c r="Q56" s="32"/>
      <c r="R56" s="32"/>
      <c r="S56" s="32"/>
      <c r="T56" s="32"/>
      <c r="U56" s="32"/>
      <c r="V56" s="32"/>
      <c r="W56" s="32"/>
      <c r="X56" s="32"/>
      <c r="Y56" s="32"/>
      <c r="Z56" s="32"/>
      <c r="AA56" s="32"/>
      <c r="AB56" s="32"/>
      <c r="AC56" s="32"/>
    </row>
    <row r="57" ht="14.25" customHeight="1">
      <c r="B57" s="27">
        <v>48.0</v>
      </c>
      <c r="C57" s="33" t="s">
        <v>84</v>
      </c>
      <c r="D57" s="34">
        <v>200000.0</v>
      </c>
      <c r="E57" s="28" t="s">
        <v>65</v>
      </c>
      <c r="F57" s="30">
        <v>200000.0</v>
      </c>
      <c r="G57" s="30">
        <v>200000.0</v>
      </c>
      <c r="H57" s="30">
        <v>200000.0</v>
      </c>
      <c r="I57" s="30">
        <v>200000.0</v>
      </c>
      <c r="J57" s="30">
        <v>200000.0</v>
      </c>
      <c r="K57" s="30">
        <v>200000.0</v>
      </c>
      <c r="L57" s="30">
        <v>200000.0</v>
      </c>
      <c r="M57" s="30">
        <v>200000.0</v>
      </c>
      <c r="N57" s="30">
        <v>200000.0</v>
      </c>
      <c r="O57" s="30">
        <v>200000.0</v>
      </c>
      <c r="P57" s="30">
        <v>200000.0</v>
      </c>
      <c r="Q57" s="30">
        <v>200000.0</v>
      </c>
      <c r="R57" s="30">
        <v>200000.0</v>
      </c>
      <c r="S57" s="30">
        <v>200000.0</v>
      </c>
      <c r="T57" s="30">
        <v>200000.0</v>
      </c>
      <c r="U57" s="30">
        <v>200000.0</v>
      </c>
      <c r="V57" s="30">
        <v>200000.0</v>
      </c>
      <c r="W57" s="30">
        <v>200000.0</v>
      </c>
      <c r="X57" s="30">
        <v>200000.0</v>
      </c>
      <c r="Y57" s="30">
        <v>200000.0</v>
      </c>
      <c r="Z57" s="30"/>
      <c r="AA57" s="30"/>
      <c r="AB57" s="30"/>
      <c r="AC57" s="30"/>
    </row>
    <row r="58" ht="14.25" customHeight="1">
      <c r="B58" s="27">
        <v>49.0</v>
      </c>
      <c r="C58" s="33" t="s">
        <v>85</v>
      </c>
      <c r="D58" s="29"/>
      <c r="E58" s="28"/>
      <c r="F58" s="32"/>
      <c r="G58" s="32"/>
      <c r="H58" s="32"/>
      <c r="I58" s="32"/>
      <c r="J58" s="32"/>
      <c r="K58" s="32"/>
      <c r="L58" s="32"/>
      <c r="M58" s="32"/>
      <c r="N58" s="32"/>
      <c r="O58" s="32"/>
      <c r="P58" s="32"/>
      <c r="Q58" s="32"/>
      <c r="R58" s="32"/>
      <c r="S58" s="32"/>
      <c r="T58" s="32"/>
      <c r="U58" s="32"/>
      <c r="V58" s="32"/>
      <c r="W58" s="32"/>
      <c r="X58" s="32"/>
      <c r="Y58" s="32"/>
      <c r="Z58" s="32"/>
      <c r="AA58" s="32"/>
      <c r="AB58" s="32"/>
      <c r="AC58" s="32"/>
    </row>
    <row r="59" ht="14.25" customHeight="1">
      <c r="B59" s="27">
        <v>50.0</v>
      </c>
      <c r="C59" s="33" t="s">
        <v>86</v>
      </c>
      <c r="D59" s="34">
        <v>300000.0</v>
      </c>
      <c r="E59" s="28" t="s">
        <v>41</v>
      </c>
      <c r="F59" s="30">
        <v>300000.0</v>
      </c>
      <c r="G59" s="30">
        <v>300000.0</v>
      </c>
      <c r="H59" s="30">
        <v>300000.0</v>
      </c>
      <c r="I59" s="30">
        <v>300000.0</v>
      </c>
      <c r="J59" s="30">
        <v>300000.0</v>
      </c>
      <c r="K59" s="30">
        <v>300000.0</v>
      </c>
      <c r="L59" s="30">
        <v>300000.0</v>
      </c>
      <c r="M59" s="30">
        <v>300000.0</v>
      </c>
      <c r="N59" s="30">
        <v>300000.0</v>
      </c>
      <c r="O59" s="32"/>
      <c r="P59" s="30">
        <v>600000.0</v>
      </c>
      <c r="Q59" s="30">
        <v>300000.0</v>
      </c>
      <c r="R59" s="30">
        <v>300000.0</v>
      </c>
      <c r="S59" s="30">
        <v>300000.0</v>
      </c>
      <c r="T59" s="30">
        <v>300000.0</v>
      </c>
      <c r="U59" s="30">
        <v>300000.0</v>
      </c>
      <c r="V59" s="30">
        <v>300000.0</v>
      </c>
      <c r="W59" s="30"/>
      <c r="X59" s="30"/>
      <c r="Y59" s="30"/>
      <c r="Z59" s="30"/>
      <c r="AA59" s="32"/>
      <c r="AB59" s="30"/>
      <c r="AC59" s="30"/>
    </row>
    <row r="60" ht="14.25" customHeight="1">
      <c r="B60" s="27">
        <v>51.0</v>
      </c>
      <c r="C60" s="33" t="s">
        <v>87</v>
      </c>
      <c r="D60" s="29"/>
      <c r="E60" s="28"/>
      <c r="F60" s="32"/>
      <c r="G60" s="32"/>
      <c r="H60" s="32"/>
      <c r="I60" s="32"/>
      <c r="J60" s="32"/>
      <c r="K60" s="32"/>
      <c r="L60" s="32"/>
      <c r="M60" s="32"/>
      <c r="N60" s="32"/>
      <c r="O60" s="32"/>
      <c r="P60" s="32"/>
      <c r="Q60" s="32"/>
      <c r="R60" s="32"/>
      <c r="S60" s="32"/>
      <c r="T60" s="32"/>
      <c r="U60" s="32"/>
      <c r="V60" s="32"/>
      <c r="W60" s="32"/>
      <c r="X60" s="32"/>
      <c r="Y60" s="32"/>
      <c r="Z60" s="32"/>
      <c r="AA60" s="32"/>
      <c r="AB60" s="32"/>
      <c r="AC60" s="32"/>
    </row>
    <row r="61" ht="14.25" customHeight="1">
      <c r="B61" s="27">
        <v>52.0</v>
      </c>
      <c r="C61" s="33" t="s">
        <v>88</v>
      </c>
      <c r="D61" s="29"/>
      <c r="E61" s="28"/>
      <c r="F61" s="32"/>
      <c r="G61" s="32"/>
      <c r="H61" s="32"/>
      <c r="I61" s="32"/>
      <c r="J61" s="32"/>
      <c r="K61" s="32"/>
      <c r="L61" s="32"/>
      <c r="M61" s="32"/>
      <c r="N61" s="32"/>
      <c r="O61" s="32"/>
      <c r="P61" s="32"/>
      <c r="Q61" s="32"/>
      <c r="R61" s="32"/>
      <c r="S61" s="32"/>
      <c r="T61" s="32"/>
      <c r="U61" s="32"/>
      <c r="V61" s="32"/>
      <c r="W61" s="32"/>
      <c r="X61" s="32"/>
      <c r="Y61" s="32"/>
      <c r="Z61" s="32"/>
      <c r="AA61" s="32"/>
      <c r="AB61" s="32"/>
      <c r="AC61" s="32"/>
    </row>
    <row r="62" ht="14.25" customHeight="1">
      <c r="B62" s="27">
        <v>53.0</v>
      </c>
      <c r="C62" s="33" t="s">
        <v>89</v>
      </c>
      <c r="D62" s="34">
        <v>100000.0</v>
      </c>
      <c r="E62" s="28" t="s">
        <v>41</v>
      </c>
      <c r="F62" s="30">
        <v>100000.0</v>
      </c>
      <c r="G62" s="32"/>
      <c r="H62" s="32"/>
      <c r="I62" s="30">
        <v>100000.0</v>
      </c>
      <c r="J62" s="30">
        <v>100000.0</v>
      </c>
      <c r="K62" s="30">
        <v>100000.0</v>
      </c>
      <c r="L62" s="30">
        <v>100000.0</v>
      </c>
      <c r="M62" s="30">
        <v>100000.0</v>
      </c>
      <c r="N62" s="30">
        <v>100000.0</v>
      </c>
      <c r="O62" s="32"/>
      <c r="P62" s="32"/>
      <c r="Q62" s="30">
        <v>50000.0</v>
      </c>
      <c r="R62" s="32"/>
      <c r="S62" s="30">
        <v>50000.0</v>
      </c>
      <c r="T62" s="32"/>
      <c r="U62" s="30">
        <v>50000.0</v>
      </c>
      <c r="V62" s="30"/>
      <c r="W62" s="30"/>
      <c r="X62" s="30"/>
      <c r="Y62" s="30"/>
      <c r="Z62" s="30"/>
      <c r="AA62" s="32"/>
      <c r="AB62" s="32"/>
      <c r="AC62" s="30"/>
    </row>
    <row r="63" ht="14.25" customHeight="1">
      <c r="B63" s="27">
        <v>54.0</v>
      </c>
      <c r="C63" s="33" t="s">
        <v>90</v>
      </c>
      <c r="D63" s="29"/>
      <c r="E63" s="28"/>
      <c r="F63" s="32"/>
      <c r="G63" s="32"/>
      <c r="H63" s="32"/>
      <c r="I63" s="32"/>
      <c r="J63" s="32"/>
      <c r="K63" s="32"/>
      <c r="L63" s="32"/>
      <c r="M63" s="32"/>
      <c r="N63" s="32"/>
      <c r="O63" s="32"/>
      <c r="P63" s="32"/>
      <c r="Q63" s="30"/>
      <c r="R63" s="32"/>
      <c r="S63" s="32"/>
      <c r="T63" s="32"/>
      <c r="U63" s="32"/>
      <c r="V63" s="32"/>
      <c r="W63" s="32"/>
      <c r="X63" s="32"/>
      <c r="Y63" s="32"/>
      <c r="Z63" s="32"/>
      <c r="AA63" s="32"/>
      <c r="AB63" s="32"/>
      <c r="AC63" s="30"/>
    </row>
    <row r="64" ht="14.25" customHeight="1">
      <c r="B64" s="27">
        <v>55.0</v>
      </c>
      <c r="C64" s="33" t="s">
        <v>91</v>
      </c>
      <c r="D64" s="29"/>
      <c r="E64" s="28"/>
      <c r="F64" s="32"/>
      <c r="G64" s="32"/>
      <c r="H64" s="32"/>
      <c r="I64" s="32"/>
      <c r="J64" s="32"/>
      <c r="K64" s="32"/>
      <c r="L64" s="32"/>
      <c r="M64" s="32"/>
      <c r="N64" s="32"/>
      <c r="O64" s="32"/>
      <c r="P64" s="32"/>
      <c r="Q64" s="32"/>
      <c r="R64" s="32"/>
      <c r="S64" s="32"/>
      <c r="T64" s="32"/>
      <c r="U64" s="32"/>
      <c r="V64" s="32"/>
      <c r="W64" s="32"/>
      <c r="X64" s="32"/>
      <c r="Y64" s="32"/>
      <c r="Z64" s="32"/>
      <c r="AA64" s="32"/>
      <c r="AB64" s="32"/>
      <c r="AC64" s="32"/>
    </row>
    <row r="65" ht="14.25" customHeight="1">
      <c r="B65" s="27">
        <v>56.0</v>
      </c>
      <c r="C65" s="33" t="s">
        <v>92</v>
      </c>
      <c r="D65" s="29"/>
      <c r="E65" s="28"/>
      <c r="F65" s="32"/>
      <c r="G65" s="32"/>
      <c r="H65" s="32"/>
      <c r="I65" s="32"/>
      <c r="J65" s="32"/>
      <c r="K65" s="32"/>
      <c r="L65" s="32"/>
      <c r="M65" s="32"/>
      <c r="N65" s="32"/>
      <c r="O65" s="32"/>
      <c r="P65" s="32"/>
      <c r="Q65" s="32"/>
      <c r="R65" s="32"/>
      <c r="S65" s="32"/>
      <c r="T65" s="32"/>
      <c r="U65" s="32"/>
      <c r="V65" s="32"/>
      <c r="W65" s="32"/>
      <c r="X65" s="32"/>
      <c r="Y65" s="32"/>
      <c r="Z65" s="32"/>
      <c r="AA65" s="32"/>
      <c r="AB65" s="32"/>
      <c r="AC65" s="32"/>
    </row>
    <row r="66" ht="14.25" customHeight="1">
      <c r="B66" s="27">
        <v>57.0</v>
      </c>
      <c r="C66" s="33" t="s">
        <v>93</v>
      </c>
      <c r="D66" s="34">
        <v>300000.0</v>
      </c>
      <c r="E66" s="28" t="s">
        <v>41</v>
      </c>
      <c r="F66" s="30">
        <v>300000.0</v>
      </c>
      <c r="G66" s="30">
        <v>300000.0</v>
      </c>
      <c r="H66" s="32"/>
      <c r="I66" s="32"/>
      <c r="J66" s="32"/>
      <c r="K66" s="32"/>
      <c r="L66" s="32"/>
      <c r="M66" s="32"/>
      <c r="N66" s="32"/>
      <c r="O66" s="32"/>
      <c r="P66" s="32"/>
      <c r="Q66" s="32"/>
      <c r="R66" s="32"/>
      <c r="S66" s="32"/>
      <c r="T66" s="32"/>
      <c r="U66" s="32"/>
      <c r="V66" s="32"/>
      <c r="W66" s="32"/>
      <c r="X66" s="32"/>
      <c r="Y66" s="32"/>
      <c r="Z66" s="32"/>
      <c r="AA66" s="32"/>
      <c r="AB66" s="32"/>
      <c r="AC66" s="32"/>
    </row>
    <row r="67" ht="14.25" customHeight="1">
      <c r="B67" s="27">
        <v>58.0</v>
      </c>
      <c r="C67" s="33" t="s">
        <v>94</v>
      </c>
      <c r="D67" s="29"/>
      <c r="E67" s="28"/>
      <c r="F67" s="32"/>
      <c r="G67" s="32"/>
      <c r="H67" s="32"/>
      <c r="I67" s="32"/>
      <c r="J67" s="32"/>
      <c r="K67" s="32"/>
      <c r="L67" s="32"/>
      <c r="M67" s="32"/>
      <c r="N67" s="32"/>
      <c r="O67" s="32"/>
      <c r="P67" s="32"/>
      <c r="Q67" s="32"/>
      <c r="R67" s="32"/>
      <c r="S67" s="32"/>
      <c r="T67" s="32"/>
      <c r="U67" s="32"/>
      <c r="V67" s="32"/>
      <c r="W67" s="32"/>
      <c r="X67" s="32"/>
      <c r="Y67" s="32"/>
      <c r="Z67" s="32"/>
      <c r="AA67" s="32"/>
      <c r="AB67" s="32"/>
      <c r="AC67" s="32"/>
    </row>
    <row r="68" ht="14.25" customHeight="1">
      <c r="B68" s="27">
        <v>59.0</v>
      </c>
      <c r="C68" s="33" t="s">
        <v>95</v>
      </c>
      <c r="D68" s="34"/>
      <c r="E68" s="28"/>
      <c r="F68" s="30">
        <v>300000.0</v>
      </c>
      <c r="G68" s="32"/>
      <c r="H68" s="32"/>
      <c r="I68" s="32"/>
      <c r="J68" s="32"/>
      <c r="K68" s="32"/>
      <c r="L68" s="32"/>
      <c r="M68" s="32"/>
      <c r="N68" s="32"/>
      <c r="O68" s="32"/>
      <c r="P68" s="32"/>
      <c r="Q68" s="32"/>
      <c r="R68" s="32"/>
      <c r="S68" s="32"/>
      <c r="T68" s="32"/>
      <c r="U68" s="32"/>
      <c r="V68" s="32"/>
      <c r="W68" s="32"/>
      <c r="X68" s="32"/>
      <c r="Y68" s="32"/>
      <c r="Z68" s="32"/>
      <c r="AA68" s="32"/>
      <c r="AB68" s="32"/>
      <c r="AC68" s="32"/>
    </row>
    <row r="69" ht="14.25" customHeight="1">
      <c r="B69" s="27">
        <v>60.0</v>
      </c>
      <c r="C69" s="33" t="s">
        <v>96</v>
      </c>
      <c r="D69" s="29"/>
      <c r="E69" s="28"/>
      <c r="F69" s="32"/>
      <c r="G69" s="32"/>
      <c r="H69" s="32"/>
      <c r="I69" s="32"/>
      <c r="J69" s="32"/>
      <c r="K69" s="32"/>
      <c r="L69" s="32"/>
      <c r="M69" s="32"/>
      <c r="N69" s="32"/>
      <c r="O69" s="32"/>
      <c r="P69" s="32"/>
      <c r="Q69" s="32"/>
      <c r="R69" s="32"/>
      <c r="S69" s="32"/>
      <c r="T69" s="32"/>
      <c r="U69" s="32"/>
      <c r="V69" s="32"/>
      <c r="W69" s="32"/>
      <c r="X69" s="32"/>
      <c r="Y69" s="32"/>
      <c r="Z69" s="32"/>
      <c r="AA69" s="32"/>
      <c r="AB69" s="32"/>
      <c r="AC69" s="32"/>
    </row>
    <row r="70" ht="14.25" customHeight="1">
      <c r="B70" s="27">
        <v>61.0</v>
      </c>
      <c r="C70" s="33" t="s">
        <v>97</v>
      </c>
      <c r="D70" s="29"/>
      <c r="E70" s="28"/>
      <c r="F70" s="32"/>
      <c r="G70" s="32"/>
      <c r="H70" s="32"/>
      <c r="I70" s="32"/>
      <c r="J70" s="32"/>
      <c r="K70" s="32"/>
      <c r="L70" s="32"/>
      <c r="M70" s="32"/>
      <c r="N70" s="32"/>
      <c r="O70" s="32"/>
      <c r="P70" s="32"/>
      <c r="Q70" s="32"/>
      <c r="R70" s="32"/>
      <c r="S70" s="32"/>
      <c r="T70" s="32"/>
      <c r="U70" s="32"/>
      <c r="V70" s="32"/>
      <c r="W70" s="32"/>
      <c r="X70" s="32"/>
      <c r="Y70" s="32"/>
      <c r="Z70" s="32"/>
      <c r="AA70" s="32"/>
      <c r="AB70" s="32"/>
      <c r="AC70" s="32"/>
    </row>
    <row r="71" ht="14.25" customHeight="1">
      <c r="B71" s="27">
        <v>62.0</v>
      </c>
      <c r="C71" s="33" t="s">
        <v>98</v>
      </c>
      <c r="D71" s="29"/>
      <c r="E71" s="28"/>
      <c r="F71" s="32"/>
      <c r="G71" s="32"/>
      <c r="H71" s="32"/>
      <c r="I71" s="32"/>
      <c r="J71" s="32"/>
      <c r="K71" s="32"/>
      <c r="L71" s="32"/>
      <c r="M71" s="32"/>
      <c r="N71" s="32"/>
      <c r="O71" s="32"/>
      <c r="P71" s="32"/>
      <c r="Q71" s="32"/>
      <c r="R71" s="32"/>
      <c r="S71" s="32"/>
      <c r="T71" s="32"/>
      <c r="U71" s="32"/>
      <c r="V71" s="32"/>
      <c r="W71" s="32"/>
      <c r="X71" s="32"/>
      <c r="Y71" s="32"/>
      <c r="Z71" s="32"/>
      <c r="AA71" s="32"/>
      <c r="AB71" s="32"/>
      <c r="AC71" s="32"/>
    </row>
    <row r="72" ht="14.25" customHeight="1">
      <c r="B72" s="27">
        <v>63.0</v>
      </c>
      <c r="C72" s="33" t="s">
        <v>99</v>
      </c>
      <c r="D72" s="29"/>
      <c r="E72" s="28"/>
      <c r="F72" s="32"/>
      <c r="G72" s="32"/>
      <c r="H72" s="32"/>
      <c r="I72" s="32"/>
      <c r="J72" s="32"/>
      <c r="K72" s="32"/>
      <c r="L72" s="32"/>
      <c r="M72" s="32"/>
      <c r="N72" s="32"/>
      <c r="O72" s="32"/>
      <c r="P72" s="32"/>
      <c r="Q72" s="32"/>
      <c r="R72" s="32"/>
      <c r="S72" s="32"/>
      <c r="T72" s="32"/>
      <c r="U72" s="32"/>
      <c r="V72" s="32"/>
      <c r="W72" s="32"/>
      <c r="X72" s="32"/>
      <c r="Y72" s="32"/>
      <c r="Z72" s="32"/>
      <c r="AA72" s="32"/>
      <c r="AB72" s="32"/>
      <c r="AC72" s="32"/>
    </row>
    <row r="73" ht="14.25" customHeight="1">
      <c r="B73" s="27">
        <v>64.0</v>
      </c>
      <c r="C73" s="33" t="s">
        <v>100</v>
      </c>
      <c r="D73" s="29"/>
      <c r="E73" s="28"/>
      <c r="F73" s="32"/>
      <c r="G73" s="32"/>
      <c r="H73" s="32"/>
      <c r="I73" s="32"/>
      <c r="J73" s="32"/>
      <c r="K73" s="32"/>
      <c r="L73" s="32"/>
      <c r="M73" s="32"/>
      <c r="N73" s="32"/>
      <c r="O73" s="32"/>
      <c r="P73" s="32"/>
      <c r="Q73" s="32"/>
      <c r="R73" s="32"/>
      <c r="S73" s="32"/>
      <c r="T73" s="32"/>
      <c r="U73" s="32"/>
      <c r="V73" s="32"/>
      <c r="W73" s="32"/>
      <c r="X73" s="32"/>
      <c r="Y73" s="32"/>
      <c r="Z73" s="32"/>
      <c r="AA73" s="32"/>
      <c r="AB73" s="32"/>
      <c r="AC73" s="32"/>
    </row>
    <row r="74" ht="14.25" customHeight="1">
      <c r="B74" s="27">
        <v>65.0</v>
      </c>
      <c r="C74" s="33" t="s">
        <v>101</v>
      </c>
      <c r="D74" s="29"/>
      <c r="E74" s="28"/>
      <c r="F74" s="32"/>
      <c r="G74" s="32"/>
      <c r="H74" s="32"/>
      <c r="I74" s="32"/>
      <c r="J74" s="32"/>
      <c r="K74" s="32"/>
      <c r="L74" s="32"/>
      <c r="M74" s="32"/>
      <c r="N74" s="32"/>
      <c r="O74" s="32"/>
      <c r="P74" s="32"/>
      <c r="Q74" s="32"/>
      <c r="R74" s="32"/>
      <c r="S74" s="32"/>
      <c r="T74" s="32"/>
      <c r="U74" s="32"/>
      <c r="V74" s="32"/>
      <c r="W74" s="32"/>
      <c r="X74" s="32"/>
      <c r="Y74" s="32"/>
      <c r="Z74" s="32"/>
      <c r="AA74" s="32"/>
      <c r="AB74" s="32"/>
      <c r="AC74" s="32"/>
    </row>
    <row r="75" ht="14.25" customHeight="1">
      <c r="B75" s="27">
        <v>66.0</v>
      </c>
      <c r="C75" s="33" t="s">
        <v>102</v>
      </c>
      <c r="D75" s="29"/>
      <c r="E75" s="28"/>
      <c r="F75" s="32"/>
      <c r="G75" s="32"/>
      <c r="H75" s="32"/>
      <c r="I75" s="32"/>
      <c r="J75" s="30">
        <v>100000.0</v>
      </c>
      <c r="K75" s="32"/>
      <c r="L75" s="32"/>
      <c r="M75" s="32"/>
      <c r="N75" s="32"/>
      <c r="O75" s="32"/>
      <c r="P75" s="32"/>
      <c r="Q75" s="32"/>
      <c r="R75" s="30">
        <v>100000.0</v>
      </c>
      <c r="S75" s="32"/>
      <c r="T75" s="32"/>
      <c r="U75" s="32"/>
      <c r="V75" s="30"/>
      <c r="W75" s="32"/>
      <c r="X75" s="32"/>
      <c r="Y75" s="32"/>
      <c r="Z75" s="32"/>
      <c r="AA75" s="32"/>
      <c r="AB75" s="32"/>
      <c r="AC75" s="32"/>
    </row>
    <row r="76" ht="14.25" customHeight="1">
      <c r="B76" s="27">
        <v>67.0</v>
      </c>
      <c r="C76" s="33" t="s">
        <v>103</v>
      </c>
      <c r="D76" s="29"/>
      <c r="E76" s="28"/>
      <c r="F76" s="32"/>
      <c r="G76" s="32"/>
      <c r="H76" s="32"/>
      <c r="I76" s="32"/>
      <c r="J76" s="32"/>
      <c r="K76" s="32"/>
      <c r="L76" s="32"/>
      <c r="M76" s="32"/>
      <c r="N76" s="30">
        <v>200000.0</v>
      </c>
      <c r="O76" s="30">
        <v>200000.0</v>
      </c>
      <c r="P76" s="30">
        <v>200000.0</v>
      </c>
      <c r="Q76" s="30">
        <v>200000.0</v>
      </c>
      <c r="R76" s="30">
        <v>200000.0</v>
      </c>
      <c r="S76" s="30">
        <v>200000.0</v>
      </c>
      <c r="T76" s="30">
        <v>200000.0</v>
      </c>
      <c r="U76" s="30">
        <v>200000.0</v>
      </c>
      <c r="V76" s="30">
        <v>200000.0</v>
      </c>
      <c r="W76" s="32"/>
      <c r="X76" s="32"/>
      <c r="Y76" s="32"/>
      <c r="Z76" s="30"/>
      <c r="AA76" s="30"/>
      <c r="AB76" s="30"/>
      <c r="AC76" s="30"/>
    </row>
    <row r="77" ht="14.25" customHeight="1">
      <c r="B77" s="27">
        <v>68.0</v>
      </c>
      <c r="C77" s="33" t="s">
        <v>104</v>
      </c>
      <c r="D77" s="29"/>
      <c r="E77" s="28"/>
      <c r="F77" s="32"/>
      <c r="G77" s="32"/>
      <c r="H77" s="32"/>
      <c r="I77" s="32"/>
      <c r="J77" s="30">
        <v>200000.0</v>
      </c>
      <c r="K77" s="30">
        <v>200000.0</v>
      </c>
      <c r="L77" s="30">
        <v>200000.0</v>
      </c>
      <c r="M77" s="32"/>
      <c r="N77" s="32"/>
      <c r="O77" s="32"/>
      <c r="P77" s="30">
        <v>200000.0</v>
      </c>
      <c r="Q77" s="30">
        <v>250000.0</v>
      </c>
      <c r="R77" s="32"/>
      <c r="S77" s="30">
        <v>200000.0</v>
      </c>
      <c r="T77" s="32"/>
      <c r="U77" s="32"/>
      <c r="V77" s="30"/>
      <c r="W77" s="30"/>
      <c r="X77" s="30"/>
      <c r="Y77" s="32"/>
      <c r="Z77" s="32"/>
      <c r="AA77" s="32"/>
      <c r="AB77" s="30"/>
      <c r="AC77" s="30"/>
    </row>
    <row r="78" ht="14.25" customHeight="1">
      <c r="B78" s="27">
        <v>69.0</v>
      </c>
      <c r="C78" s="33" t="s">
        <v>105</v>
      </c>
      <c r="D78" s="29"/>
      <c r="E78" s="28"/>
      <c r="F78" s="32"/>
      <c r="G78" s="32"/>
      <c r="H78" s="32"/>
      <c r="I78" s="32"/>
      <c r="J78" s="32"/>
      <c r="K78" s="32"/>
      <c r="L78" s="32"/>
      <c r="M78" s="32"/>
      <c r="N78" s="32"/>
      <c r="O78" s="32"/>
      <c r="P78" s="32"/>
      <c r="Q78" s="32"/>
      <c r="R78" s="32"/>
      <c r="S78" s="32"/>
      <c r="T78" s="32"/>
      <c r="U78" s="32"/>
      <c r="V78" s="32"/>
      <c r="W78" s="32"/>
      <c r="X78" s="32"/>
      <c r="Y78" s="32"/>
      <c r="Z78" s="32"/>
      <c r="AA78" s="32"/>
      <c r="AB78" s="32"/>
      <c r="AC78" s="32"/>
    </row>
    <row r="79" ht="14.25" customHeight="1">
      <c r="B79" s="27">
        <v>70.0</v>
      </c>
      <c r="C79" s="33" t="s">
        <v>106</v>
      </c>
      <c r="D79" s="29"/>
      <c r="E79" s="28"/>
      <c r="F79" s="32"/>
      <c r="G79" s="32"/>
      <c r="H79" s="32"/>
      <c r="I79" s="32"/>
      <c r="J79" s="32"/>
      <c r="K79" s="32"/>
      <c r="L79" s="32"/>
      <c r="M79" s="32"/>
      <c r="N79" s="30">
        <v>100000.0</v>
      </c>
      <c r="O79" s="32"/>
      <c r="P79" s="32"/>
      <c r="Q79" s="32"/>
      <c r="R79" s="32"/>
      <c r="S79" s="32"/>
      <c r="T79" s="32"/>
      <c r="U79" s="32"/>
      <c r="V79" s="32"/>
      <c r="W79" s="32"/>
      <c r="X79" s="32"/>
      <c r="Y79" s="32"/>
      <c r="Z79" s="30"/>
      <c r="AA79" s="32"/>
      <c r="AB79" s="32"/>
      <c r="AC79" s="32"/>
    </row>
    <row r="80" ht="14.25" customHeight="1">
      <c r="B80" s="27">
        <v>71.0</v>
      </c>
      <c r="C80" s="33" t="s">
        <v>107</v>
      </c>
      <c r="D80" s="29"/>
      <c r="E80" s="28"/>
      <c r="F80" s="32"/>
      <c r="G80" s="32"/>
      <c r="H80" s="32"/>
      <c r="I80" s="32"/>
      <c r="J80" s="32"/>
      <c r="K80" s="32"/>
      <c r="L80" s="32"/>
      <c r="M80" s="32"/>
      <c r="N80" s="32"/>
      <c r="O80" s="32"/>
      <c r="P80" s="32"/>
      <c r="Q80" s="32"/>
      <c r="R80" s="32"/>
      <c r="S80" s="32"/>
      <c r="T80" s="32"/>
      <c r="U80" s="32"/>
      <c r="V80" s="32"/>
      <c r="W80" s="32"/>
      <c r="X80" s="32"/>
      <c r="Y80" s="32"/>
      <c r="Z80" s="32"/>
      <c r="AA80" s="32"/>
      <c r="AB80" s="32"/>
      <c r="AC80" s="32"/>
    </row>
    <row r="81" ht="14.25" customHeight="1">
      <c r="B81" s="27">
        <v>72.0</v>
      </c>
      <c r="C81" s="33" t="s">
        <v>108</v>
      </c>
      <c r="D81" s="29"/>
      <c r="E81" s="28"/>
      <c r="F81" s="32"/>
      <c r="G81" s="32"/>
      <c r="H81" s="32"/>
      <c r="I81" s="32"/>
      <c r="J81" s="32"/>
      <c r="K81" s="32"/>
      <c r="L81" s="32"/>
      <c r="M81" s="32"/>
      <c r="N81" s="32"/>
      <c r="O81" s="32"/>
      <c r="P81" s="32"/>
      <c r="Q81" s="32"/>
      <c r="R81" s="32"/>
      <c r="S81" s="32"/>
      <c r="T81" s="32"/>
      <c r="U81" s="32"/>
      <c r="V81" s="32"/>
      <c r="W81" s="32"/>
      <c r="X81" s="32"/>
      <c r="Y81" s="32"/>
      <c r="Z81" s="32"/>
      <c r="AA81" s="32"/>
      <c r="AB81" s="32"/>
      <c r="AC81" s="32"/>
    </row>
    <row r="82" ht="14.25" customHeight="1">
      <c r="B82" s="27">
        <v>73.0</v>
      </c>
      <c r="C82" s="33" t="s">
        <v>109</v>
      </c>
      <c r="D82" s="29"/>
      <c r="E82" s="28"/>
      <c r="F82" s="32"/>
      <c r="G82" s="32"/>
      <c r="H82" s="32"/>
      <c r="I82" s="32"/>
      <c r="J82" s="32"/>
      <c r="K82" s="32"/>
      <c r="L82" s="32"/>
      <c r="M82" s="32"/>
      <c r="N82" s="32"/>
      <c r="O82" s="32"/>
      <c r="P82" s="32"/>
      <c r="Q82" s="32"/>
      <c r="R82" s="32"/>
      <c r="S82" s="32"/>
      <c r="T82" s="32"/>
      <c r="U82" s="32"/>
      <c r="V82" s="32"/>
      <c r="W82" s="32"/>
      <c r="X82" s="32"/>
      <c r="Y82" s="32"/>
      <c r="Z82" s="32"/>
      <c r="AA82" s="32"/>
      <c r="AB82" s="32"/>
      <c r="AC82" s="32"/>
    </row>
    <row r="83" ht="14.25" customHeight="1">
      <c r="B83" s="27">
        <v>74.0</v>
      </c>
      <c r="C83" s="33" t="s">
        <v>110</v>
      </c>
      <c r="D83" s="29"/>
      <c r="E83" s="28"/>
      <c r="F83" s="32"/>
      <c r="G83" s="32"/>
      <c r="H83" s="32"/>
      <c r="I83" s="32"/>
      <c r="J83" s="32"/>
      <c r="K83" s="32"/>
      <c r="L83" s="32"/>
      <c r="M83" s="32"/>
      <c r="N83" s="32"/>
      <c r="O83" s="32"/>
      <c r="P83" s="32"/>
      <c r="Q83" s="32"/>
      <c r="R83" s="32"/>
      <c r="S83" s="32"/>
      <c r="T83" s="32"/>
      <c r="U83" s="32"/>
      <c r="V83" s="32"/>
      <c r="W83" s="32"/>
      <c r="X83" s="32"/>
      <c r="Y83" s="32"/>
      <c r="Z83" s="32"/>
      <c r="AA83" s="32"/>
      <c r="AB83" s="32"/>
      <c r="AC83" s="32"/>
    </row>
    <row r="84" ht="14.25" customHeight="1">
      <c r="B84" s="27">
        <v>75.0</v>
      </c>
      <c r="C84" s="33" t="s">
        <v>111</v>
      </c>
      <c r="D84" s="29"/>
      <c r="E84" s="28"/>
      <c r="F84" s="32"/>
      <c r="G84" s="32"/>
      <c r="H84" s="32"/>
      <c r="I84" s="32"/>
      <c r="J84" s="32"/>
      <c r="K84" s="32"/>
      <c r="L84" s="32"/>
      <c r="M84" s="32"/>
      <c r="N84" s="32"/>
      <c r="O84" s="32"/>
      <c r="P84" s="32"/>
      <c r="Q84" s="32"/>
      <c r="R84" s="32"/>
      <c r="S84" s="32"/>
      <c r="T84" s="32"/>
      <c r="U84" s="32"/>
      <c r="V84" s="32"/>
      <c r="W84" s="32"/>
      <c r="X84" s="32"/>
      <c r="Y84" s="32"/>
      <c r="Z84" s="32"/>
      <c r="AA84" s="32"/>
      <c r="AB84" s="32"/>
      <c r="AC84" s="32"/>
    </row>
    <row r="85" ht="14.25" customHeight="1">
      <c r="B85" s="27">
        <v>76.0</v>
      </c>
      <c r="C85" s="33" t="s">
        <v>112</v>
      </c>
      <c r="D85" s="29"/>
      <c r="E85" s="28"/>
      <c r="F85" s="32"/>
      <c r="G85" s="32"/>
      <c r="H85" s="30">
        <v>300000.0</v>
      </c>
      <c r="I85" s="32"/>
      <c r="J85" s="32"/>
      <c r="K85" s="32"/>
      <c r="L85" s="32"/>
      <c r="M85" s="32"/>
      <c r="N85" s="32"/>
      <c r="O85" s="32"/>
      <c r="P85" s="32"/>
      <c r="Q85" s="32"/>
      <c r="R85" s="32"/>
      <c r="S85" s="32"/>
      <c r="T85" s="30"/>
      <c r="U85" s="32"/>
      <c r="V85" s="32"/>
      <c r="W85" s="32"/>
      <c r="X85" s="32"/>
      <c r="Y85" s="32"/>
      <c r="Z85" s="32"/>
      <c r="AA85" s="32"/>
      <c r="AB85" s="32"/>
      <c r="AC85" s="32"/>
    </row>
    <row r="86" ht="14.25" customHeight="1">
      <c r="B86" s="27">
        <v>77.0</v>
      </c>
      <c r="C86" s="33" t="s">
        <v>113</v>
      </c>
      <c r="D86" s="29"/>
      <c r="E86" s="28"/>
      <c r="F86" s="32"/>
      <c r="G86" s="32"/>
      <c r="H86" s="32"/>
      <c r="I86" s="32"/>
      <c r="J86" s="32"/>
      <c r="K86" s="32"/>
      <c r="L86" s="32"/>
      <c r="M86" s="32"/>
      <c r="N86" s="32"/>
      <c r="O86" s="32"/>
      <c r="P86" s="32"/>
      <c r="Q86" s="32"/>
      <c r="R86" s="32"/>
      <c r="S86" s="32"/>
      <c r="T86" s="32"/>
      <c r="U86" s="32"/>
      <c r="V86" s="32"/>
      <c r="W86" s="32"/>
      <c r="X86" s="32"/>
      <c r="Y86" s="32"/>
      <c r="Z86" s="32"/>
      <c r="AA86" s="32"/>
      <c r="AB86" s="32"/>
      <c r="AC86" s="32"/>
    </row>
    <row r="87" ht="14.25" customHeight="1">
      <c r="B87" s="27">
        <v>78.0</v>
      </c>
      <c r="C87" s="33" t="s">
        <v>114</v>
      </c>
      <c r="D87" s="29"/>
      <c r="E87" s="28"/>
      <c r="F87" s="32"/>
      <c r="G87" s="32"/>
      <c r="H87" s="32"/>
      <c r="I87" s="32"/>
      <c r="J87" s="32"/>
      <c r="K87" s="32"/>
      <c r="L87" s="32"/>
      <c r="M87" s="32"/>
      <c r="N87" s="32"/>
      <c r="O87" s="32"/>
      <c r="P87" s="32"/>
      <c r="Q87" s="32"/>
      <c r="R87" s="32"/>
      <c r="S87" s="32"/>
      <c r="T87" s="32"/>
      <c r="U87" s="32"/>
      <c r="V87" s="32"/>
      <c r="W87" s="32"/>
      <c r="X87" s="32"/>
      <c r="Y87" s="32"/>
      <c r="Z87" s="32"/>
      <c r="AA87" s="32"/>
      <c r="AB87" s="32"/>
      <c r="AC87" s="32"/>
    </row>
    <row r="88" ht="14.25" customHeight="1">
      <c r="B88" s="27">
        <v>79.0</v>
      </c>
      <c r="C88" s="33" t="s">
        <v>115</v>
      </c>
      <c r="D88" s="29"/>
      <c r="E88" s="28"/>
      <c r="F88" s="32"/>
      <c r="G88" s="32"/>
      <c r="H88" s="32"/>
      <c r="I88" s="32"/>
      <c r="J88" s="32"/>
      <c r="K88" s="32"/>
      <c r="L88" s="32"/>
      <c r="M88" s="32"/>
      <c r="N88" s="32"/>
      <c r="O88" s="32"/>
      <c r="P88" s="32"/>
      <c r="Q88" s="32"/>
      <c r="R88" s="32"/>
      <c r="S88" s="32"/>
      <c r="T88" s="32"/>
      <c r="U88" s="32"/>
      <c r="V88" s="32"/>
      <c r="W88" s="32"/>
      <c r="X88" s="32"/>
      <c r="Y88" s="32"/>
      <c r="Z88" s="32"/>
      <c r="AA88" s="32"/>
      <c r="AB88" s="32"/>
      <c r="AC88" s="32"/>
    </row>
    <row r="89" ht="14.25" customHeight="1">
      <c r="B89" s="27">
        <v>80.0</v>
      </c>
      <c r="C89" s="33" t="s">
        <v>116</v>
      </c>
      <c r="D89" s="29"/>
      <c r="E89" s="28"/>
      <c r="F89" s="32"/>
      <c r="G89" s="32"/>
      <c r="H89" s="32"/>
      <c r="I89" s="32"/>
      <c r="J89" s="32"/>
      <c r="K89" s="32"/>
      <c r="L89" s="32"/>
      <c r="M89" s="32"/>
      <c r="N89" s="32"/>
      <c r="O89" s="32"/>
      <c r="P89" s="32"/>
      <c r="Q89" s="32"/>
      <c r="R89" s="32"/>
      <c r="S89" s="32"/>
      <c r="T89" s="32"/>
      <c r="U89" s="32"/>
      <c r="V89" s="32"/>
      <c r="W89" s="32"/>
      <c r="X89" s="32"/>
      <c r="Y89" s="32"/>
      <c r="Z89" s="32"/>
      <c r="AA89" s="32"/>
      <c r="AB89" s="32"/>
      <c r="AC89" s="32"/>
    </row>
    <row r="90" ht="14.25" customHeight="1">
      <c r="B90" s="27">
        <v>81.0</v>
      </c>
      <c r="C90" s="33" t="s">
        <v>117</v>
      </c>
      <c r="D90" s="29"/>
      <c r="E90" s="28"/>
      <c r="F90" s="32"/>
      <c r="G90" s="32"/>
      <c r="H90" s="32"/>
      <c r="I90" s="32"/>
      <c r="J90" s="32"/>
      <c r="K90" s="32"/>
      <c r="L90" s="32"/>
      <c r="M90" s="32"/>
      <c r="N90" s="32"/>
      <c r="O90" s="32"/>
      <c r="P90" s="32"/>
      <c r="Q90" s="32"/>
      <c r="R90" s="32"/>
      <c r="S90" s="32"/>
      <c r="T90" s="32"/>
      <c r="U90" s="32"/>
      <c r="V90" s="32"/>
      <c r="W90" s="32"/>
      <c r="X90" s="32"/>
      <c r="Y90" s="32"/>
      <c r="Z90" s="32"/>
      <c r="AA90" s="32"/>
      <c r="AB90" s="32"/>
      <c r="AC90" s="32"/>
    </row>
    <row r="91" ht="14.25" customHeight="1">
      <c r="B91" s="27">
        <v>82.0</v>
      </c>
      <c r="C91" s="33" t="s">
        <v>118</v>
      </c>
      <c r="D91" s="29"/>
      <c r="E91" s="28"/>
      <c r="F91" s="32"/>
      <c r="G91" s="32"/>
      <c r="H91" s="32"/>
      <c r="I91" s="32"/>
      <c r="J91" s="32"/>
      <c r="K91" s="32"/>
      <c r="L91" s="32"/>
      <c r="M91" s="32"/>
      <c r="N91" s="32"/>
      <c r="O91" s="30"/>
      <c r="P91" s="32"/>
      <c r="Q91" s="32"/>
      <c r="R91" s="32"/>
      <c r="S91" s="32"/>
      <c r="T91" s="32"/>
      <c r="U91" s="32"/>
      <c r="V91" s="32"/>
      <c r="W91" s="32"/>
      <c r="X91" s="32"/>
      <c r="Y91" s="32"/>
      <c r="Z91" s="32"/>
      <c r="AA91" s="30"/>
      <c r="AB91" s="32"/>
      <c r="AC91" s="32"/>
    </row>
    <row r="92" ht="14.25" customHeight="1">
      <c r="B92" s="27">
        <v>83.0</v>
      </c>
      <c r="C92" s="33" t="s">
        <v>119</v>
      </c>
      <c r="D92" s="34">
        <v>250000.0</v>
      </c>
      <c r="E92" s="28" t="s">
        <v>41</v>
      </c>
      <c r="F92" s="30">
        <v>250000.0</v>
      </c>
      <c r="G92" s="32"/>
      <c r="H92" s="32"/>
      <c r="I92" s="32"/>
      <c r="J92" s="32"/>
      <c r="K92" s="30">
        <v>300000.0</v>
      </c>
      <c r="L92" s="32"/>
      <c r="M92" s="30">
        <v>300000.0</v>
      </c>
      <c r="N92" s="32"/>
      <c r="O92" s="32"/>
      <c r="P92" s="32"/>
      <c r="Q92" s="32"/>
      <c r="R92" s="32"/>
      <c r="S92" s="32"/>
      <c r="T92" s="32"/>
      <c r="U92" s="32"/>
      <c r="V92" s="32"/>
      <c r="W92" s="30"/>
      <c r="X92" s="32"/>
      <c r="Y92" s="30"/>
      <c r="Z92" s="32"/>
      <c r="AA92" s="32"/>
      <c r="AB92" s="32"/>
      <c r="AC92" s="32"/>
    </row>
    <row r="93" ht="14.25" customHeight="1">
      <c r="B93" s="27">
        <v>84.0</v>
      </c>
      <c r="C93" s="33" t="s">
        <v>120</v>
      </c>
      <c r="D93" s="29"/>
      <c r="E93" s="28"/>
      <c r="F93" s="32"/>
      <c r="G93" s="32"/>
      <c r="H93" s="32"/>
      <c r="I93" s="32"/>
      <c r="J93" s="32"/>
      <c r="K93" s="32"/>
      <c r="L93" s="32"/>
      <c r="M93" s="32"/>
      <c r="N93" s="32"/>
      <c r="O93" s="32"/>
      <c r="P93" s="32"/>
      <c r="Q93" s="32"/>
      <c r="R93" s="32"/>
      <c r="S93" s="32"/>
      <c r="T93" s="32"/>
      <c r="U93" s="32"/>
      <c r="V93" s="32"/>
      <c r="W93" s="32"/>
      <c r="X93" s="32"/>
      <c r="Y93" s="32"/>
      <c r="Z93" s="32"/>
      <c r="AA93" s="32"/>
      <c r="AB93" s="32"/>
      <c r="AC93" s="32"/>
    </row>
    <row r="94" ht="14.25" customHeight="1">
      <c r="B94" s="27">
        <v>85.0</v>
      </c>
      <c r="C94" s="33" t="s">
        <v>121</v>
      </c>
      <c r="D94" s="34">
        <v>150000.0</v>
      </c>
      <c r="E94" s="28" t="s">
        <v>65</v>
      </c>
      <c r="F94" s="30">
        <v>150000.0</v>
      </c>
      <c r="G94" s="30">
        <v>150000.0</v>
      </c>
      <c r="H94" s="30">
        <v>150000.0</v>
      </c>
      <c r="I94" s="30">
        <v>150000.0</v>
      </c>
      <c r="J94" s="30">
        <v>150000.0</v>
      </c>
      <c r="K94" s="30">
        <v>150000.0</v>
      </c>
      <c r="L94" s="30">
        <v>150000.0</v>
      </c>
      <c r="M94" s="30">
        <v>150000.0</v>
      </c>
      <c r="N94" s="30">
        <v>150000.0</v>
      </c>
      <c r="O94" s="30">
        <v>150000.0</v>
      </c>
      <c r="P94" s="30">
        <v>150000.0</v>
      </c>
      <c r="Q94" s="30">
        <v>150000.0</v>
      </c>
      <c r="R94" s="30">
        <v>300000.0</v>
      </c>
      <c r="S94" s="30">
        <v>300000.0</v>
      </c>
      <c r="T94" s="30">
        <v>300000.0</v>
      </c>
      <c r="U94" s="30">
        <v>300000.0</v>
      </c>
      <c r="V94" s="30">
        <v>300000.0</v>
      </c>
      <c r="W94" s="30">
        <v>300000.0</v>
      </c>
      <c r="X94" s="30">
        <v>300000.0</v>
      </c>
      <c r="Y94" s="30">
        <v>300000.0</v>
      </c>
      <c r="Z94" s="30">
        <v>300000.0</v>
      </c>
      <c r="AA94" s="30">
        <v>300000.0</v>
      </c>
      <c r="AB94" s="30">
        <v>300000.0</v>
      </c>
      <c r="AC94" s="30">
        <v>300000.0</v>
      </c>
    </row>
    <row r="95" ht="14.25" customHeight="1">
      <c r="B95" s="27">
        <v>86.0</v>
      </c>
      <c r="C95" s="33" t="s">
        <v>122</v>
      </c>
      <c r="D95" s="29"/>
      <c r="E95" s="28"/>
      <c r="F95" s="32"/>
      <c r="G95" s="32"/>
      <c r="H95" s="32"/>
      <c r="I95" s="30">
        <v>1000000.0</v>
      </c>
      <c r="J95" s="30">
        <v>300000.0</v>
      </c>
      <c r="K95" s="32"/>
      <c r="L95" s="32"/>
      <c r="M95" s="32"/>
      <c r="N95" s="30">
        <v>500000.0</v>
      </c>
      <c r="O95" s="32"/>
      <c r="P95" s="32"/>
      <c r="Q95" s="32"/>
      <c r="R95" s="32"/>
      <c r="S95" s="32"/>
      <c r="T95" s="32"/>
      <c r="U95" s="30"/>
      <c r="V95" s="30"/>
      <c r="W95" s="32"/>
      <c r="X95" s="32"/>
      <c r="Y95" s="32"/>
      <c r="Z95" s="30"/>
      <c r="AA95" s="32"/>
      <c r="AB95" s="32"/>
      <c r="AC95" s="32"/>
    </row>
    <row r="96" ht="14.25" customHeight="1">
      <c r="B96" s="27">
        <v>87.0</v>
      </c>
      <c r="C96" s="33" t="s">
        <v>123</v>
      </c>
      <c r="D96" s="29"/>
      <c r="E96" s="28"/>
      <c r="F96" s="32"/>
      <c r="G96" s="32"/>
      <c r="H96" s="32"/>
      <c r="I96" s="32"/>
      <c r="J96" s="32"/>
      <c r="K96" s="32"/>
      <c r="L96" s="32"/>
      <c r="M96" s="32"/>
      <c r="N96" s="32"/>
      <c r="O96" s="32"/>
      <c r="P96" s="32"/>
      <c r="Q96" s="32"/>
      <c r="R96" s="32"/>
      <c r="S96" s="32"/>
      <c r="T96" s="32"/>
      <c r="U96" s="32"/>
      <c r="V96" s="32"/>
      <c r="W96" s="32"/>
      <c r="X96" s="32"/>
      <c r="Y96" s="32"/>
      <c r="Z96" s="32"/>
      <c r="AA96" s="32"/>
      <c r="AB96" s="32"/>
      <c r="AC96" s="32"/>
    </row>
    <row r="97" ht="14.25" customHeight="1">
      <c r="B97" s="27">
        <v>88.0</v>
      </c>
      <c r="C97" s="33" t="s">
        <v>124</v>
      </c>
      <c r="D97" s="34">
        <v>666667.0</v>
      </c>
      <c r="E97" s="28" t="s">
        <v>65</v>
      </c>
      <c r="F97" s="30">
        <v>666667.0</v>
      </c>
      <c r="G97" s="30">
        <v>666667.0</v>
      </c>
      <c r="H97" s="30">
        <v>666667.0</v>
      </c>
      <c r="I97" s="30">
        <v>666667.0</v>
      </c>
      <c r="J97" s="30">
        <v>666667.0</v>
      </c>
      <c r="K97" s="30">
        <v>666667.0</v>
      </c>
      <c r="L97" s="30">
        <v>666667.0</v>
      </c>
      <c r="M97" s="30">
        <v>666667.0</v>
      </c>
      <c r="N97" s="30">
        <v>666667.0</v>
      </c>
      <c r="O97" s="30">
        <v>666667.0</v>
      </c>
      <c r="P97" s="30">
        <v>666667.0</v>
      </c>
      <c r="Q97" s="30">
        <v>666667.0</v>
      </c>
      <c r="R97" s="30"/>
      <c r="S97" s="30"/>
      <c r="T97" s="30"/>
      <c r="U97" s="30"/>
      <c r="V97" s="30"/>
      <c r="W97" s="30"/>
      <c r="X97" s="30"/>
      <c r="Y97" s="30"/>
      <c r="Z97" s="30"/>
      <c r="AA97" s="30"/>
      <c r="AB97" s="30"/>
      <c r="AC97" s="30"/>
    </row>
    <row r="98" ht="14.25" customHeight="1">
      <c r="B98" s="27">
        <v>89.0</v>
      </c>
      <c r="C98" s="33" t="s">
        <v>125</v>
      </c>
      <c r="D98" s="34">
        <v>200000.0</v>
      </c>
      <c r="E98" s="28" t="s">
        <v>41</v>
      </c>
      <c r="F98" s="32"/>
      <c r="G98" s="30">
        <v>200000.0</v>
      </c>
      <c r="H98" s="30">
        <v>200000.0</v>
      </c>
      <c r="I98" s="30"/>
      <c r="J98" s="30">
        <v>200000.0</v>
      </c>
      <c r="K98" s="32"/>
      <c r="L98" s="32"/>
      <c r="M98" s="32"/>
      <c r="N98" s="32"/>
      <c r="O98" s="32"/>
      <c r="P98" s="32"/>
      <c r="Q98" s="32"/>
      <c r="R98" s="32"/>
      <c r="S98" s="32"/>
      <c r="T98" s="30"/>
      <c r="U98" s="30"/>
      <c r="V98" s="30"/>
      <c r="W98" s="32"/>
      <c r="X98" s="32"/>
      <c r="Y98" s="32"/>
      <c r="Z98" s="32"/>
      <c r="AA98" s="32"/>
      <c r="AB98" s="32"/>
      <c r="AC98" s="32"/>
    </row>
    <row r="99" ht="14.25" customHeight="1">
      <c r="B99" s="36">
        <v>90.0</v>
      </c>
      <c r="C99" s="33" t="s">
        <v>126</v>
      </c>
      <c r="D99" s="29"/>
      <c r="E99" s="28"/>
      <c r="F99" s="32"/>
      <c r="G99" s="32"/>
      <c r="H99" s="32"/>
      <c r="I99" s="32"/>
      <c r="J99" s="32"/>
      <c r="K99" s="32"/>
      <c r="L99" s="32"/>
      <c r="M99" s="32"/>
      <c r="N99" s="32"/>
      <c r="O99" s="32"/>
      <c r="P99" s="32"/>
      <c r="Q99" s="32"/>
      <c r="R99" s="32"/>
      <c r="S99" s="32"/>
      <c r="T99" s="32"/>
      <c r="U99" s="32"/>
      <c r="V99" s="32"/>
      <c r="W99" s="32"/>
      <c r="X99" s="32"/>
      <c r="Y99" s="32"/>
      <c r="Z99" s="32"/>
      <c r="AA99" s="32"/>
      <c r="AB99" s="32"/>
      <c r="AC99" s="32"/>
    </row>
    <row r="100" ht="14.25" customHeight="1">
      <c r="C100" s="37"/>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autoFilter ref="$B$9:$U$99"/>
  <dataValidations>
    <dataValidation type="list" allowBlank="1" showErrorMessage="1" sqref="E10:E99">
      <formula1>"per Bulan,per Semester,per Tahun,Insidental"</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8.0" topLeftCell="F9" activePane="bottomRight" state="frozen"/>
      <selection activeCell="F1" sqref="F1" pane="topRight"/>
      <selection activeCell="A9" sqref="A9" pane="bottomLeft"/>
      <selection activeCell="F9" sqref="F9" pane="bottomRight"/>
    </sheetView>
  </sheetViews>
  <sheetFormatPr customHeight="1" defaultColWidth="14.43" defaultRowHeight="15.0"/>
  <cols>
    <col customWidth="1" min="1" max="1" width="5.43"/>
    <col customWidth="1" min="2" max="2" width="7.0"/>
    <col customWidth="1" min="3" max="3" width="24.14"/>
    <col customWidth="1" min="4" max="4" width="14.86"/>
    <col customWidth="1" min="5" max="5" width="13.71"/>
    <col customWidth="1" min="6" max="26" width="8.71"/>
  </cols>
  <sheetData>
    <row r="1" ht="14.25" customHeight="1"/>
    <row r="2" ht="14.25" customHeight="1">
      <c r="D2" s="38" t="s">
        <v>25</v>
      </c>
      <c r="E2" s="39" t="s">
        <v>0</v>
      </c>
    </row>
    <row r="3" ht="14.25" customHeight="1">
      <c r="D3" s="38" t="s">
        <v>26</v>
      </c>
      <c r="E3" s="39"/>
    </row>
    <row r="4" ht="14.25" customHeight="1">
      <c r="D4" s="40"/>
      <c r="E4" s="40"/>
    </row>
    <row r="5" ht="14.25" customHeight="1">
      <c r="D5" s="41" t="s">
        <v>127</v>
      </c>
      <c r="E5" s="41" t="s">
        <v>128</v>
      </c>
      <c r="F5" s="42">
        <f t="shared" ref="F5:S5" si="1">F6-F7</f>
        <v>-2450000</v>
      </c>
      <c r="G5" s="42">
        <f t="shared" si="1"/>
        <v>-2450000</v>
      </c>
      <c r="H5" s="42">
        <f t="shared" si="1"/>
        <v>-2450000</v>
      </c>
      <c r="I5" s="42">
        <f t="shared" si="1"/>
        <v>0</v>
      </c>
      <c r="J5" s="42">
        <f t="shared" si="1"/>
        <v>0</v>
      </c>
      <c r="K5" s="42">
        <f t="shared" si="1"/>
        <v>0</v>
      </c>
      <c r="L5" s="42">
        <f t="shared" si="1"/>
        <v>0</v>
      </c>
      <c r="M5" s="42">
        <f t="shared" si="1"/>
        <v>0</v>
      </c>
      <c r="N5" s="42">
        <f t="shared" si="1"/>
        <v>0</v>
      </c>
      <c r="O5" s="42">
        <f t="shared" si="1"/>
        <v>0</v>
      </c>
      <c r="P5" s="42">
        <f t="shared" si="1"/>
        <v>0</v>
      </c>
      <c r="Q5" s="42">
        <f t="shared" si="1"/>
        <v>0</v>
      </c>
      <c r="R5" s="42">
        <f t="shared" si="1"/>
        <v>0</v>
      </c>
      <c r="S5" s="42">
        <f t="shared" si="1"/>
        <v>0</v>
      </c>
    </row>
    <row r="6" ht="14.25" customHeight="1">
      <c r="D6" s="41" t="s">
        <v>127</v>
      </c>
      <c r="E6" s="41" t="s">
        <v>129</v>
      </c>
      <c r="F6" s="42"/>
      <c r="G6" s="42"/>
      <c r="H6" s="42"/>
      <c r="I6" s="42"/>
      <c r="J6" s="42"/>
      <c r="K6" s="42"/>
      <c r="L6" s="42"/>
      <c r="M6" s="42"/>
      <c r="N6" s="42"/>
      <c r="O6" s="42"/>
      <c r="P6" s="42"/>
      <c r="Q6" s="42"/>
      <c r="R6" s="42"/>
      <c r="S6" s="42"/>
    </row>
    <row r="7" ht="14.25" customHeight="1">
      <c r="D7" s="41" t="s">
        <v>28</v>
      </c>
      <c r="E7" s="41" t="s">
        <v>29</v>
      </c>
      <c r="F7" s="42">
        <f t="shared" ref="F7:S7" si="2">SUBTOTAL(9,F9:F13)</f>
        <v>2450000</v>
      </c>
      <c r="G7" s="42">
        <f t="shared" si="2"/>
        <v>2450000</v>
      </c>
      <c r="H7" s="42">
        <f t="shared" si="2"/>
        <v>2450000</v>
      </c>
      <c r="I7" s="42">
        <f t="shared" si="2"/>
        <v>0</v>
      </c>
      <c r="J7" s="42">
        <f t="shared" si="2"/>
        <v>0</v>
      </c>
      <c r="K7" s="42">
        <f t="shared" si="2"/>
        <v>0</v>
      </c>
      <c r="L7" s="42">
        <f t="shared" si="2"/>
        <v>0</v>
      </c>
      <c r="M7" s="42">
        <f t="shared" si="2"/>
        <v>0</v>
      </c>
      <c r="N7" s="42">
        <f t="shared" si="2"/>
        <v>0</v>
      </c>
      <c r="O7" s="42">
        <f t="shared" si="2"/>
        <v>0</v>
      </c>
      <c r="P7" s="42">
        <f t="shared" si="2"/>
        <v>0</v>
      </c>
      <c r="Q7" s="42">
        <f t="shared" si="2"/>
        <v>0</v>
      </c>
      <c r="R7" s="42">
        <f t="shared" si="2"/>
        <v>0</v>
      </c>
      <c r="S7" s="42">
        <f t="shared" si="2"/>
        <v>0</v>
      </c>
    </row>
    <row r="8" ht="14.25" customHeight="1">
      <c r="B8" s="43" t="s">
        <v>1</v>
      </c>
      <c r="C8" s="43" t="s">
        <v>130</v>
      </c>
      <c r="D8" s="44" t="s">
        <v>131</v>
      </c>
      <c r="E8" s="6"/>
      <c r="F8" s="45">
        <v>45597.0</v>
      </c>
      <c r="G8" s="45">
        <v>45627.0</v>
      </c>
      <c r="H8" s="45">
        <v>45658.0</v>
      </c>
      <c r="I8" s="45">
        <v>45689.0</v>
      </c>
      <c r="J8" s="45">
        <v>45717.0</v>
      </c>
      <c r="K8" s="45">
        <v>45748.0</v>
      </c>
      <c r="L8" s="45">
        <v>45778.0</v>
      </c>
      <c r="M8" s="45">
        <v>45809.0</v>
      </c>
      <c r="N8" s="45">
        <v>45839.0</v>
      </c>
      <c r="O8" s="45">
        <v>45870.0</v>
      </c>
      <c r="P8" s="45">
        <v>45901.0</v>
      </c>
      <c r="Q8" s="45">
        <v>45931.0</v>
      </c>
      <c r="R8" s="45">
        <v>45962.0</v>
      </c>
      <c r="S8" s="45">
        <v>45992.0</v>
      </c>
    </row>
    <row r="9" ht="14.25" customHeight="1">
      <c r="B9" s="46">
        <v>1.0</v>
      </c>
      <c r="C9" s="47" t="s">
        <v>132</v>
      </c>
      <c r="D9" s="48">
        <f>SUM(Santunan!D6:D8)</f>
        <v>750000</v>
      </c>
      <c r="E9" s="49" t="s">
        <v>41</v>
      </c>
      <c r="F9" s="50">
        <v>750000.0</v>
      </c>
      <c r="G9" s="50">
        <v>750000.0</v>
      </c>
      <c r="H9" s="50">
        <v>750000.0</v>
      </c>
      <c r="I9" s="51"/>
      <c r="J9" s="51"/>
      <c r="K9" s="51"/>
      <c r="L9" s="51"/>
      <c r="M9" s="51"/>
      <c r="N9" s="51"/>
      <c r="O9" s="51"/>
      <c r="P9" s="51"/>
      <c r="Q9" s="51"/>
      <c r="R9" s="51"/>
      <c r="S9" s="51"/>
    </row>
    <row r="10" ht="14.25" customHeight="1">
      <c r="B10" s="46">
        <v>2.0</v>
      </c>
      <c r="C10" s="47" t="s">
        <v>133</v>
      </c>
      <c r="D10" s="48">
        <f>SUM(Santunan!D10:D13)</f>
        <v>950000</v>
      </c>
      <c r="E10" s="49" t="s">
        <v>41</v>
      </c>
      <c r="F10" s="50">
        <v>950000.0</v>
      </c>
      <c r="G10" s="50">
        <v>950000.0</v>
      </c>
      <c r="H10" s="50">
        <v>950000.0</v>
      </c>
      <c r="I10" s="51"/>
      <c r="J10" s="51"/>
      <c r="K10" s="51"/>
      <c r="L10" s="51"/>
      <c r="M10" s="51"/>
      <c r="N10" s="51"/>
      <c r="O10" s="51"/>
      <c r="P10" s="51"/>
      <c r="Q10" s="51"/>
      <c r="R10" s="51"/>
      <c r="S10" s="51"/>
    </row>
    <row r="11" ht="14.25" customHeight="1">
      <c r="B11" s="46">
        <v>3.0</v>
      </c>
      <c r="C11" s="52" t="s">
        <v>134</v>
      </c>
      <c r="D11" s="48">
        <f>SUM(Santunan!D15:D18)</f>
        <v>750000</v>
      </c>
      <c r="E11" s="49" t="s">
        <v>41</v>
      </c>
      <c r="F11" s="50">
        <v>750000.0</v>
      </c>
      <c r="G11" s="50">
        <v>750000.0</v>
      </c>
      <c r="H11" s="50">
        <v>750000.0</v>
      </c>
      <c r="I11" s="51"/>
      <c r="J11" s="51"/>
      <c r="K11" s="51"/>
      <c r="L11" s="51"/>
      <c r="M11" s="51"/>
      <c r="N11" s="51"/>
      <c r="O11" s="51"/>
      <c r="P11" s="51"/>
      <c r="Q11" s="51"/>
      <c r="R11" s="51"/>
      <c r="S11" s="51"/>
    </row>
    <row r="12" ht="14.25" customHeight="1">
      <c r="B12" s="46"/>
      <c r="C12" s="49"/>
      <c r="D12" s="49"/>
      <c r="E12" s="49"/>
      <c r="F12" s="51"/>
      <c r="G12" s="51"/>
      <c r="H12" s="51"/>
      <c r="I12" s="51"/>
      <c r="J12" s="51"/>
      <c r="K12" s="51"/>
      <c r="L12" s="51"/>
      <c r="M12" s="51"/>
      <c r="N12" s="51"/>
      <c r="O12" s="51"/>
      <c r="P12" s="51"/>
      <c r="Q12" s="51"/>
      <c r="R12" s="51"/>
      <c r="S12" s="51"/>
    </row>
    <row r="13" ht="14.25" customHeight="1">
      <c r="B13" s="49"/>
      <c r="C13" s="49"/>
      <c r="D13" s="49"/>
      <c r="E13" s="49"/>
      <c r="F13" s="51"/>
      <c r="G13" s="51"/>
      <c r="H13" s="51"/>
      <c r="I13" s="51"/>
      <c r="J13" s="51"/>
      <c r="K13" s="51"/>
      <c r="L13" s="51"/>
      <c r="M13" s="51"/>
      <c r="N13" s="51"/>
      <c r="O13" s="51"/>
      <c r="P13" s="51"/>
      <c r="Q13" s="51"/>
      <c r="R13" s="51"/>
      <c r="S13" s="51"/>
    </row>
    <row r="14" ht="14.25" customHeight="1"/>
    <row r="15" ht="14.25" customHeight="1"/>
    <row r="16" ht="14.25" customHeight="1">
      <c r="B16" s="53" t="s">
        <v>1</v>
      </c>
      <c r="C16" s="53" t="s">
        <v>135</v>
      </c>
      <c r="D16" s="54" t="s">
        <v>136</v>
      </c>
      <c r="E16" s="5"/>
      <c r="F16" s="5"/>
      <c r="G16" s="5"/>
      <c r="H16" s="5"/>
      <c r="I16" s="5"/>
      <c r="J16" s="6"/>
    </row>
    <row r="17" ht="14.25" customHeight="1">
      <c r="B17" s="46">
        <v>1.0</v>
      </c>
      <c r="C17" s="49"/>
      <c r="D17" s="55"/>
      <c r="E17" s="5"/>
      <c r="F17" s="5"/>
      <c r="G17" s="5"/>
      <c r="H17" s="5"/>
      <c r="I17" s="5"/>
      <c r="J17" s="6"/>
    </row>
    <row r="18" ht="14.25" customHeight="1">
      <c r="B18" s="46">
        <v>2.0</v>
      </c>
      <c r="C18" s="49"/>
      <c r="D18" s="55"/>
      <c r="E18" s="5"/>
      <c r="F18" s="5"/>
      <c r="G18" s="5"/>
      <c r="H18" s="5"/>
      <c r="I18" s="5"/>
      <c r="J18" s="6"/>
    </row>
    <row r="19" ht="14.25" customHeight="1">
      <c r="B19" s="46">
        <v>3.0</v>
      </c>
      <c r="C19" s="49"/>
      <c r="D19" s="55"/>
      <c r="E19" s="5"/>
      <c r="F19" s="5"/>
      <c r="G19" s="5"/>
      <c r="H19" s="5"/>
      <c r="I19" s="5"/>
      <c r="J19" s="6"/>
    </row>
    <row r="20" ht="14.25" customHeight="1">
      <c r="B20" s="46">
        <v>4.0</v>
      </c>
      <c r="C20" s="49"/>
      <c r="D20" s="55"/>
      <c r="E20" s="5"/>
      <c r="F20" s="5"/>
      <c r="G20" s="5"/>
      <c r="H20" s="5"/>
      <c r="I20" s="5"/>
      <c r="J20" s="6"/>
    </row>
    <row r="21" ht="14.25" customHeight="1">
      <c r="B21" s="46">
        <v>5.0</v>
      </c>
      <c r="C21" s="49"/>
      <c r="D21" s="55"/>
      <c r="E21" s="5"/>
      <c r="F21" s="5"/>
      <c r="G21" s="5"/>
      <c r="H21" s="5"/>
      <c r="I21" s="5"/>
      <c r="J21" s="6"/>
    </row>
    <row r="22" ht="14.25" customHeight="1">
      <c r="B22" s="46"/>
      <c r="C22" s="49"/>
      <c r="D22" s="55"/>
      <c r="E22" s="5"/>
      <c r="F22" s="5"/>
      <c r="G22" s="5"/>
      <c r="H22" s="5"/>
      <c r="I22" s="5"/>
      <c r="J22" s="6"/>
    </row>
    <row r="23" ht="14.25" customHeight="1">
      <c r="B23" s="46"/>
      <c r="C23" s="49"/>
      <c r="D23" s="55"/>
      <c r="E23" s="5"/>
      <c r="F23" s="5"/>
      <c r="G23" s="5"/>
      <c r="H23" s="5"/>
      <c r="I23" s="5"/>
      <c r="J23" s="6"/>
    </row>
    <row r="24" ht="14.25" customHeight="1">
      <c r="B24" s="46"/>
      <c r="C24" s="49"/>
      <c r="D24" s="55"/>
      <c r="E24" s="5"/>
      <c r="F24" s="5"/>
      <c r="G24" s="5"/>
      <c r="H24" s="5"/>
      <c r="I24" s="5"/>
      <c r="J24" s="6"/>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8:$S$13"/>
  <mergeCells count="10">
    <mergeCell ref="D22:J22"/>
    <mergeCell ref="D23:J23"/>
    <mergeCell ref="D24:J24"/>
    <mergeCell ref="D8:E8"/>
    <mergeCell ref="D16:J16"/>
    <mergeCell ref="D17:J17"/>
    <mergeCell ref="D18:J18"/>
    <mergeCell ref="D19:J19"/>
    <mergeCell ref="D20:J20"/>
    <mergeCell ref="D21:J21"/>
  </mergeCells>
  <dataValidations>
    <dataValidation type="list" allowBlank="1" showErrorMessage="1" sqref="E9:E12">
      <formula1>"per Bulan,per Semester,per Tahun,Insidental"</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1" width="8.71"/>
    <col customWidth="1" min="12" max="12" width="0.86"/>
    <col customWidth="1" min="13" max="23" width="8.71"/>
    <col customWidth="1" min="24" max="24" width="0.86"/>
    <col customWidth="1" min="25" max="26" width="8.71"/>
  </cols>
  <sheetData>
    <row r="1" ht="14.25" customHeight="1">
      <c r="L1" s="56"/>
      <c r="X1" s="56"/>
    </row>
    <row r="2" ht="14.25" customHeight="1">
      <c r="L2" s="56"/>
      <c r="X2" s="56"/>
    </row>
    <row r="3" ht="14.25" customHeight="1">
      <c r="B3" s="1" t="s">
        <v>137</v>
      </c>
      <c r="C3" s="57">
        <v>45658.0</v>
      </c>
      <c r="L3" s="56"/>
      <c r="N3" s="1" t="s">
        <v>137</v>
      </c>
      <c r="O3" s="57">
        <v>45597.0</v>
      </c>
      <c r="X3" s="56"/>
    </row>
    <row r="4" ht="14.25" customHeight="1">
      <c r="B4" s="1" t="s">
        <v>135</v>
      </c>
      <c r="L4" s="56"/>
      <c r="N4" s="1" t="s">
        <v>135</v>
      </c>
      <c r="X4" s="56"/>
    </row>
    <row r="5" ht="14.25" customHeight="1">
      <c r="B5" s="4" t="s">
        <v>138</v>
      </c>
      <c r="C5" s="5"/>
      <c r="D5" s="58"/>
      <c r="E5" s="4" t="s">
        <v>10</v>
      </c>
      <c r="F5" s="5"/>
      <c r="G5" s="58"/>
      <c r="H5" s="4" t="s">
        <v>17</v>
      </c>
      <c r="I5" s="5"/>
      <c r="J5" s="58"/>
      <c r="L5" s="56"/>
      <c r="N5" s="4" t="s">
        <v>138</v>
      </c>
      <c r="O5" s="5"/>
      <c r="P5" s="58"/>
      <c r="Q5" s="4" t="s">
        <v>10</v>
      </c>
      <c r="R5" s="5"/>
      <c r="S5" s="58"/>
      <c r="T5" s="4" t="s">
        <v>17</v>
      </c>
      <c r="U5" s="5"/>
      <c r="V5" s="58"/>
      <c r="X5" s="56"/>
    </row>
    <row r="6" ht="14.25" customHeight="1">
      <c r="B6" s="59"/>
      <c r="C6" s="60"/>
      <c r="D6" s="61"/>
      <c r="E6" s="59"/>
      <c r="F6" s="60"/>
      <c r="G6" s="61"/>
      <c r="H6" s="59"/>
      <c r="I6" s="60"/>
      <c r="J6" s="61"/>
      <c r="L6" s="56"/>
      <c r="N6" s="59"/>
      <c r="O6" s="60"/>
      <c r="P6" s="61"/>
      <c r="Q6" s="59"/>
      <c r="R6" s="60"/>
      <c r="S6" s="61"/>
      <c r="T6" s="59"/>
      <c r="U6" s="60"/>
      <c r="V6" s="61"/>
      <c r="X6" s="56"/>
    </row>
    <row r="7" ht="14.25" customHeight="1">
      <c r="B7" s="62"/>
      <c r="C7" s="63"/>
      <c r="D7" s="64"/>
      <c r="E7" s="62"/>
      <c r="F7" s="63"/>
      <c r="G7" s="64"/>
      <c r="H7" s="62"/>
      <c r="I7" s="63"/>
      <c r="J7" s="64"/>
      <c r="L7" s="56"/>
      <c r="N7" s="62"/>
      <c r="O7" s="63"/>
      <c r="P7" s="64"/>
      <c r="Q7" s="62"/>
      <c r="R7" s="63"/>
      <c r="S7" s="64"/>
      <c r="T7" s="62"/>
      <c r="U7" s="63"/>
      <c r="V7" s="64"/>
      <c r="X7" s="56"/>
    </row>
    <row r="8" ht="14.25" customHeight="1">
      <c r="B8" s="62"/>
      <c r="C8" s="63"/>
      <c r="D8" s="64"/>
      <c r="E8" s="62"/>
      <c r="F8" s="63"/>
      <c r="G8" s="64"/>
      <c r="H8" s="62"/>
      <c r="I8" s="63"/>
      <c r="J8" s="64"/>
      <c r="L8" s="56"/>
      <c r="N8" s="62"/>
      <c r="O8" s="63"/>
      <c r="P8" s="64"/>
      <c r="Q8" s="62"/>
      <c r="R8" s="63"/>
      <c r="S8" s="64"/>
      <c r="T8" s="62"/>
      <c r="U8" s="63"/>
      <c r="V8" s="64"/>
      <c r="X8" s="56"/>
    </row>
    <row r="9" ht="14.25" customHeight="1">
      <c r="B9" s="62"/>
      <c r="C9" s="63"/>
      <c r="D9" s="64"/>
      <c r="E9" s="62"/>
      <c r="F9" s="63"/>
      <c r="G9" s="64"/>
      <c r="H9" s="62"/>
      <c r="I9" s="63"/>
      <c r="J9" s="64"/>
      <c r="L9" s="56"/>
      <c r="N9" s="62"/>
      <c r="O9" s="63"/>
      <c r="P9" s="64"/>
      <c r="Q9" s="62"/>
      <c r="R9" s="63"/>
      <c r="S9" s="64"/>
      <c r="T9" s="62"/>
      <c r="U9" s="63"/>
      <c r="V9" s="64"/>
      <c r="X9" s="56"/>
    </row>
    <row r="10" ht="14.25" customHeight="1">
      <c r="B10" s="62"/>
      <c r="C10" s="63"/>
      <c r="D10" s="64"/>
      <c r="E10" s="62"/>
      <c r="F10" s="63"/>
      <c r="G10" s="64"/>
      <c r="H10" s="62"/>
      <c r="I10" s="63"/>
      <c r="J10" s="64"/>
      <c r="L10" s="56"/>
      <c r="N10" s="62"/>
      <c r="O10" s="63"/>
      <c r="P10" s="64"/>
      <c r="Q10" s="62"/>
      <c r="R10" s="63"/>
      <c r="S10" s="64"/>
      <c r="T10" s="62"/>
      <c r="U10" s="63"/>
      <c r="V10" s="64"/>
      <c r="X10" s="56"/>
    </row>
    <row r="11" ht="14.25" customHeight="1">
      <c r="B11" s="62"/>
      <c r="C11" s="63"/>
      <c r="D11" s="64"/>
      <c r="E11" s="62"/>
      <c r="F11" s="63"/>
      <c r="G11" s="64"/>
      <c r="H11" s="62"/>
      <c r="I11" s="63"/>
      <c r="J11" s="64"/>
      <c r="L11" s="56"/>
      <c r="N11" s="62"/>
      <c r="O11" s="63"/>
      <c r="P11" s="64"/>
      <c r="Q11" s="62"/>
      <c r="R11" s="63"/>
      <c r="S11" s="64"/>
      <c r="T11" s="62"/>
      <c r="U11" s="63"/>
      <c r="V11" s="64"/>
      <c r="X11" s="56"/>
    </row>
    <row r="12" ht="14.25" customHeight="1">
      <c r="B12" s="62"/>
      <c r="C12" s="63"/>
      <c r="D12" s="64"/>
      <c r="E12" s="62"/>
      <c r="F12" s="63"/>
      <c r="G12" s="64"/>
      <c r="H12" s="62"/>
      <c r="I12" s="63"/>
      <c r="J12" s="64"/>
      <c r="L12" s="56"/>
      <c r="N12" s="62"/>
      <c r="O12" s="63"/>
      <c r="P12" s="64"/>
      <c r="Q12" s="62"/>
      <c r="R12" s="63"/>
      <c r="S12" s="64"/>
      <c r="T12" s="62"/>
      <c r="U12" s="63"/>
      <c r="V12" s="64"/>
      <c r="X12" s="56"/>
    </row>
    <row r="13" ht="14.25" customHeight="1">
      <c r="B13" s="62"/>
      <c r="C13" s="63"/>
      <c r="D13" s="64"/>
      <c r="E13" s="62"/>
      <c r="F13" s="63"/>
      <c r="G13" s="64"/>
      <c r="H13" s="62"/>
      <c r="I13" s="63"/>
      <c r="J13" s="64"/>
      <c r="L13" s="56"/>
      <c r="N13" s="62"/>
      <c r="O13" s="63"/>
      <c r="P13" s="64"/>
      <c r="Q13" s="62"/>
      <c r="R13" s="63"/>
      <c r="S13" s="64"/>
      <c r="T13" s="62"/>
      <c r="U13" s="63"/>
      <c r="V13" s="64"/>
      <c r="X13" s="56"/>
    </row>
    <row r="14" ht="14.25" customHeight="1">
      <c r="B14" s="65"/>
      <c r="C14" s="66"/>
      <c r="D14" s="67"/>
      <c r="E14" s="65"/>
      <c r="F14" s="66"/>
      <c r="G14" s="67"/>
      <c r="H14" s="65"/>
      <c r="I14" s="66"/>
      <c r="J14" s="67"/>
      <c r="L14" s="56"/>
      <c r="N14" s="65"/>
      <c r="O14" s="66"/>
      <c r="P14" s="67"/>
      <c r="Q14" s="65"/>
      <c r="R14" s="66"/>
      <c r="S14" s="67"/>
      <c r="T14" s="65"/>
      <c r="U14" s="66"/>
      <c r="V14" s="67"/>
      <c r="X14" s="56"/>
    </row>
    <row r="15" ht="14.25" customHeight="1">
      <c r="L15" s="56"/>
      <c r="X15" s="56"/>
    </row>
    <row r="16" ht="14.25" customHeight="1">
      <c r="B16" s="1" t="s">
        <v>137</v>
      </c>
      <c r="C16" s="57">
        <f>EOMONTH(C3,0)+1</f>
        <v>45689</v>
      </c>
      <c r="L16" s="56"/>
      <c r="N16" s="1" t="s">
        <v>137</v>
      </c>
      <c r="O16" s="57">
        <f>EOMONTH(O3,0)+1</f>
        <v>45627</v>
      </c>
      <c r="X16" s="56"/>
    </row>
    <row r="17" ht="14.25" customHeight="1">
      <c r="B17" s="1" t="s">
        <v>135</v>
      </c>
      <c r="L17" s="56"/>
      <c r="N17" s="1" t="s">
        <v>135</v>
      </c>
      <c r="X17" s="56"/>
    </row>
    <row r="18" ht="14.25" customHeight="1">
      <c r="B18" s="4" t="s">
        <v>138</v>
      </c>
      <c r="C18" s="5"/>
      <c r="D18" s="58"/>
      <c r="E18" s="4" t="s">
        <v>10</v>
      </c>
      <c r="F18" s="5"/>
      <c r="G18" s="58"/>
      <c r="H18" s="4" t="s">
        <v>17</v>
      </c>
      <c r="I18" s="5"/>
      <c r="J18" s="58"/>
      <c r="L18" s="56"/>
      <c r="N18" s="4" t="s">
        <v>138</v>
      </c>
      <c r="O18" s="5"/>
      <c r="P18" s="58"/>
      <c r="Q18" s="4" t="s">
        <v>10</v>
      </c>
      <c r="R18" s="5"/>
      <c r="S18" s="58"/>
      <c r="T18" s="4" t="s">
        <v>17</v>
      </c>
      <c r="U18" s="5"/>
      <c r="V18" s="58"/>
      <c r="X18" s="56"/>
    </row>
    <row r="19" ht="14.25" customHeight="1">
      <c r="B19" s="59"/>
      <c r="C19" s="60"/>
      <c r="D19" s="61"/>
      <c r="E19" s="59"/>
      <c r="F19" s="60"/>
      <c r="G19" s="61"/>
      <c r="H19" s="59"/>
      <c r="I19" s="60"/>
      <c r="J19" s="61"/>
      <c r="L19" s="56"/>
      <c r="N19" s="59"/>
      <c r="O19" s="60"/>
      <c r="P19" s="61"/>
      <c r="Q19" s="59"/>
      <c r="R19" s="60"/>
      <c r="S19" s="61"/>
      <c r="T19" s="59"/>
      <c r="U19" s="60"/>
      <c r="V19" s="61"/>
      <c r="X19" s="56"/>
    </row>
    <row r="20" ht="14.25" customHeight="1">
      <c r="B20" s="62"/>
      <c r="C20" s="63"/>
      <c r="D20" s="64"/>
      <c r="E20" s="62"/>
      <c r="F20" s="63"/>
      <c r="G20" s="64"/>
      <c r="H20" s="62"/>
      <c r="I20" s="63"/>
      <c r="J20" s="64"/>
      <c r="L20" s="56"/>
      <c r="N20" s="62"/>
      <c r="O20" s="63"/>
      <c r="P20" s="64"/>
      <c r="Q20" s="62"/>
      <c r="R20" s="63"/>
      <c r="S20" s="64"/>
      <c r="T20" s="62"/>
      <c r="U20" s="63"/>
      <c r="V20" s="64"/>
      <c r="X20" s="56"/>
    </row>
    <row r="21" ht="14.25" customHeight="1">
      <c r="B21" s="62"/>
      <c r="C21" s="63"/>
      <c r="D21" s="64"/>
      <c r="E21" s="62"/>
      <c r="F21" s="63"/>
      <c r="G21" s="64"/>
      <c r="H21" s="62"/>
      <c r="I21" s="63"/>
      <c r="J21" s="64"/>
      <c r="L21" s="56"/>
      <c r="N21" s="62"/>
      <c r="O21" s="63"/>
      <c r="P21" s="64"/>
      <c r="Q21" s="62"/>
      <c r="R21" s="63"/>
      <c r="S21" s="64"/>
      <c r="T21" s="62"/>
      <c r="U21" s="63"/>
      <c r="V21" s="64"/>
      <c r="X21" s="56"/>
    </row>
    <row r="22" ht="14.25" customHeight="1">
      <c r="B22" s="62"/>
      <c r="C22" s="63"/>
      <c r="D22" s="64"/>
      <c r="E22" s="62"/>
      <c r="F22" s="63"/>
      <c r="G22" s="64"/>
      <c r="H22" s="62"/>
      <c r="I22" s="63"/>
      <c r="J22" s="64"/>
      <c r="L22" s="56"/>
      <c r="N22" s="62"/>
      <c r="O22" s="63"/>
      <c r="P22" s="64"/>
      <c r="Q22" s="62"/>
      <c r="R22" s="63"/>
      <c r="S22" s="64"/>
      <c r="T22" s="62"/>
      <c r="U22" s="63"/>
      <c r="V22" s="64"/>
      <c r="X22" s="56"/>
    </row>
    <row r="23" ht="14.25" customHeight="1">
      <c r="B23" s="62"/>
      <c r="C23" s="63"/>
      <c r="D23" s="64"/>
      <c r="E23" s="62"/>
      <c r="F23" s="63"/>
      <c r="G23" s="64"/>
      <c r="H23" s="62"/>
      <c r="I23" s="63"/>
      <c r="J23" s="64"/>
      <c r="L23" s="56"/>
      <c r="N23" s="62"/>
      <c r="O23" s="63"/>
      <c r="P23" s="64"/>
      <c r="Q23" s="62"/>
      <c r="R23" s="63"/>
      <c r="S23" s="64"/>
      <c r="T23" s="62"/>
      <c r="U23" s="63"/>
      <c r="V23" s="64"/>
      <c r="X23" s="56"/>
    </row>
    <row r="24" ht="14.25" customHeight="1">
      <c r="B24" s="62"/>
      <c r="C24" s="63"/>
      <c r="D24" s="64"/>
      <c r="E24" s="62"/>
      <c r="F24" s="63"/>
      <c r="G24" s="64"/>
      <c r="H24" s="62"/>
      <c r="I24" s="63"/>
      <c r="J24" s="64"/>
      <c r="L24" s="56"/>
      <c r="N24" s="62"/>
      <c r="O24" s="63"/>
      <c r="P24" s="64"/>
      <c r="Q24" s="62"/>
      <c r="R24" s="63"/>
      <c r="S24" s="64"/>
      <c r="T24" s="62"/>
      <c r="U24" s="63"/>
      <c r="V24" s="64"/>
      <c r="X24" s="56"/>
    </row>
    <row r="25" ht="14.25" customHeight="1">
      <c r="B25" s="62"/>
      <c r="C25" s="63"/>
      <c r="D25" s="64"/>
      <c r="E25" s="62"/>
      <c r="F25" s="63"/>
      <c r="G25" s="64"/>
      <c r="H25" s="62"/>
      <c r="I25" s="63"/>
      <c r="J25" s="64"/>
      <c r="L25" s="56"/>
      <c r="N25" s="62"/>
      <c r="O25" s="63"/>
      <c r="P25" s="64"/>
      <c r="Q25" s="62"/>
      <c r="R25" s="63"/>
      <c r="S25" s="64"/>
      <c r="T25" s="62"/>
      <c r="U25" s="63"/>
      <c r="V25" s="64"/>
      <c r="X25" s="56"/>
    </row>
    <row r="26" ht="14.25" customHeight="1">
      <c r="B26" s="62"/>
      <c r="C26" s="63"/>
      <c r="D26" s="64"/>
      <c r="E26" s="62"/>
      <c r="F26" s="63"/>
      <c r="G26" s="64"/>
      <c r="H26" s="62"/>
      <c r="I26" s="63"/>
      <c r="J26" s="64"/>
      <c r="L26" s="56"/>
      <c r="N26" s="62"/>
      <c r="O26" s="63"/>
      <c r="P26" s="64"/>
      <c r="Q26" s="62"/>
      <c r="R26" s="63"/>
      <c r="S26" s="64"/>
      <c r="T26" s="62"/>
      <c r="U26" s="63"/>
      <c r="V26" s="64"/>
      <c r="X26" s="56"/>
    </row>
    <row r="27" ht="14.25" customHeight="1">
      <c r="B27" s="65"/>
      <c r="C27" s="66"/>
      <c r="D27" s="67"/>
      <c r="E27" s="65"/>
      <c r="F27" s="66"/>
      <c r="G27" s="67"/>
      <c r="H27" s="65"/>
      <c r="I27" s="66"/>
      <c r="J27" s="67"/>
      <c r="L27" s="56"/>
      <c r="N27" s="65"/>
      <c r="O27" s="66"/>
      <c r="P27" s="67"/>
      <c r="Q27" s="65"/>
      <c r="R27" s="66"/>
      <c r="S27" s="67"/>
      <c r="T27" s="65"/>
      <c r="U27" s="66"/>
      <c r="V27" s="67"/>
      <c r="X27" s="56"/>
    </row>
    <row r="28" ht="14.25" customHeight="1">
      <c r="L28" s="56"/>
      <c r="X28" s="56"/>
    </row>
    <row r="29" ht="14.25" customHeight="1">
      <c r="B29" s="1" t="s">
        <v>137</v>
      </c>
      <c r="C29" s="57">
        <f>EOMONTH(C16,0)+1</f>
        <v>45717</v>
      </c>
      <c r="L29" s="56"/>
      <c r="X29" s="56"/>
    </row>
    <row r="30" ht="14.25" customHeight="1">
      <c r="B30" s="1" t="s">
        <v>135</v>
      </c>
      <c r="L30" s="56"/>
      <c r="X30" s="56"/>
    </row>
    <row r="31" ht="14.25" customHeight="1">
      <c r="B31" s="4" t="s">
        <v>138</v>
      </c>
      <c r="C31" s="5"/>
      <c r="D31" s="58"/>
      <c r="E31" s="4" t="s">
        <v>10</v>
      </c>
      <c r="F31" s="5"/>
      <c r="G31" s="58"/>
      <c r="H31" s="4" t="s">
        <v>17</v>
      </c>
      <c r="I31" s="5"/>
      <c r="J31" s="58"/>
      <c r="L31" s="56"/>
      <c r="X31" s="56"/>
    </row>
    <row r="32" ht="14.25" customHeight="1">
      <c r="B32" s="59"/>
      <c r="C32" s="60"/>
      <c r="D32" s="61"/>
      <c r="E32" s="59"/>
      <c r="F32" s="60"/>
      <c r="G32" s="61"/>
      <c r="H32" s="59"/>
      <c r="I32" s="60"/>
      <c r="J32" s="61"/>
      <c r="L32" s="56"/>
      <c r="X32" s="56"/>
    </row>
    <row r="33" ht="14.25" customHeight="1">
      <c r="B33" s="62"/>
      <c r="C33" s="63"/>
      <c r="D33" s="64"/>
      <c r="E33" s="62"/>
      <c r="F33" s="63"/>
      <c r="G33" s="64"/>
      <c r="H33" s="62"/>
      <c r="I33" s="63"/>
      <c r="J33" s="64"/>
      <c r="L33" s="56"/>
      <c r="X33" s="56"/>
    </row>
    <row r="34" ht="14.25" customHeight="1">
      <c r="B34" s="62"/>
      <c r="C34" s="63"/>
      <c r="D34" s="64"/>
      <c r="E34" s="62"/>
      <c r="F34" s="63"/>
      <c r="G34" s="64"/>
      <c r="H34" s="62"/>
      <c r="I34" s="63"/>
      <c r="J34" s="64"/>
      <c r="L34" s="56"/>
      <c r="X34" s="56"/>
    </row>
    <row r="35" ht="14.25" customHeight="1">
      <c r="B35" s="62"/>
      <c r="C35" s="63"/>
      <c r="D35" s="64"/>
      <c r="E35" s="62"/>
      <c r="F35" s="63"/>
      <c r="G35" s="64"/>
      <c r="H35" s="62"/>
      <c r="I35" s="63"/>
      <c r="J35" s="64"/>
      <c r="L35" s="56"/>
      <c r="X35" s="56"/>
    </row>
    <row r="36" ht="14.25" customHeight="1">
      <c r="B36" s="62"/>
      <c r="C36" s="63"/>
      <c r="D36" s="64"/>
      <c r="E36" s="62"/>
      <c r="F36" s="63"/>
      <c r="G36" s="64"/>
      <c r="H36" s="62"/>
      <c r="I36" s="63"/>
      <c r="J36" s="64"/>
      <c r="L36" s="56"/>
      <c r="X36" s="56"/>
    </row>
    <row r="37" ht="14.25" customHeight="1">
      <c r="B37" s="62"/>
      <c r="C37" s="63"/>
      <c r="D37" s="64"/>
      <c r="E37" s="62"/>
      <c r="F37" s="63"/>
      <c r="G37" s="64"/>
      <c r="H37" s="62"/>
      <c r="I37" s="63"/>
      <c r="J37" s="64"/>
      <c r="L37" s="56"/>
      <c r="X37" s="56"/>
    </row>
    <row r="38" ht="14.25" customHeight="1">
      <c r="B38" s="62"/>
      <c r="C38" s="63"/>
      <c r="D38" s="64"/>
      <c r="E38" s="62"/>
      <c r="F38" s="63"/>
      <c r="G38" s="64"/>
      <c r="H38" s="62"/>
      <c r="I38" s="63"/>
      <c r="J38" s="64"/>
      <c r="L38" s="56"/>
      <c r="X38" s="56"/>
    </row>
    <row r="39" ht="14.25" customHeight="1">
      <c r="B39" s="62"/>
      <c r="C39" s="63"/>
      <c r="D39" s="64"/>
      <c r="E39" s="62"/>
      <c r="F39" s="63"/>
      <c r="G39" s="64"/>
      <c r="H39" s="62"/>
      <c r="I39" s="63"/>
      <c r="J39" s="64"/>
      <c r="L39" s="56"/>
      <c r="X39" s="56"/>
    </row>
    <row r="40" ht="14.25" customHeight="1">
      <c r="B40" s="65"/>
      <c r="C40" s="66"/>
      <c r="D40" s="67"/>
      <c r="E40" s="65"/>
      <c r="F40" s="66"/>
      <c r="G40" s="67"/>
      <c r="H40" s="65"/>
      <c r="I40" s="66"/>
      <c r="J40" s="67"/>
      <c r="L40" s="56"/>
      <c r="X40" s="56"/>
    </row>
    <row r="41" ht="14.25" customHeight="1">
      <c r="L41" s="56"/>
      <c r="X41" s="56"/>
    </row>
    <row r="42" ht="14.25" customHeight="1">
      <c r="B42" s="1" t="s">
        <v>137</v>
      </c>
      <c r="C42" s="57">
        <f>EOMONTH(C29,0)+1</f>
        <v>45748</v>
      </c>
      <c r="L42" s="56"/>
      <c r="X42" s="56"/>
    </row>
    <row r="43" ht="14.25" customHeight="1">
      <c r="B43" s="1" t="s">
        <v>135</v>
      </c>
      <c r="L43" s="56"/>
      <c r="X43" s="56"/>
    </row>
    <row r="44" ht="14.25" customHeight="1">
      <c r="B44" s="4" t="s">
        <v>138</v>
      </c>
      <c r="C44" s="5"/>
      <c r="D44" s="58"/>
      <c r="E44" s="4" t="s">
        <v>10</v>
      </c>
      <c r="F44" s="5"/>
      <c r="G44" s="58"/>
      <c r="H44" s="4" t="s">
        <v>17</v>
      </c>
      <c r="I44" s="5"/>
      <c r="J44" s="58"/>
      <c r="L44" s="56"/>
      <c r="X44" s="56"/>
    </row>
    <row r="45" ht="14.25" customHeight="1">
      <c r="B45" s="59"/>
      <c r="C45" s="60"/>
      <c r="D45" s="61"/>
      <c r="E45" s="59"/>
      <c r="F45" s="60"/>
      <c r="G45" s="61"/>
      <c r="H45" s="59"/>
      <c r="I45" s="60"/>
      <c r="J45" s="61"/>
      <c r="L45" s="56"/>
      <c r="X45" s="56"/>
    </row>
    <row r="46" ht="14.25" customHeight="1">
      <c r="B46" s="62"/>
      <c r="C46" s="63"/>
      <c r="D46" s="64"/>
      <c r="E46" s="62"/>
      <c r="F46" s="63"/>
      <c r="G46" s="64"/>
      <c r="H46" s="62"/>
      <c r="I46" s="63"/>
      <c r="J46" s="64"/>
      <c r="L46" s="56"/>
      <c r="X46" s="56"/>
    </row>
    <row r="47" ht="14.25" customHeight="1">
      <c r="B47" s="62"/>
      <c r="C47" s="63"/>
      <c r="D47" s="64"/>
      <c r="E47" s="62"/>
      <c r="F47" s="63"/>
      <c r="G47" s="64"/>
      <c r="H47" s="62"/>
      <c r="I47" s="63"/>
      <c r="J47" s="64"/>
      <c r="L47" s="56"/>
      <c r="X47" s="56"/>
    </row>
    <row r="48" ht="14.25" customHeight="1">
      <c r="B48" s="62"/>
      <c r="C48" s="63"/>
      <c r="D48" s="64"/>
      <c r="E48" s="62"/>
      <c r="F48" s="63"/>
      <c r="G48" s="64"/>
      <c r="H48" s="62"/>
      <c r="I48" s="63"/>
      <c r="J48" s="64"/>
      <c r="L48" s="56"/>
      <c r="X48" s="56"/>
    </row>
    <row r="49" ht="14.25" customHeight="1">
      <c r="B49" s="62"/>
      <c r="C49" s="63"/>
      <c r="D49" s="64"/>
      <c r="E49" s="62"/>
      <c r="F49" s="63"/>
      <c r="G49" s="64"/>
      <c r="H49" s="62"/>
      <c r="I49" s="63"/>
      <c r="J49" s="64"/>
      <c r="L49" s="56"/>
      <c r="X49" s="56"/>
    </row>
    <row r="50" ht="14.25" customHeight="1">
      <c r="B50" s="62"/>
      <c r="C50" s="63"/>
      <c r="D50" s="64"/>
      <c r="E50" s="62"/>
      <c r="F50" s="63"/>
      <c r="G50" s="64"/>
      <c r="H50" s="62"/>
      <c r="I50" s="63"/>
      <c r="J50" s="64"/>
      <c r="L50" s="56"/>
      <c r="X50" s="56"/>
    </row>
    <row r="51" ht="14.25" customHeight="1">
      <c r="B51" s="62"/>
      <c r="C51" s="63"/>
      <c r="D51" s="64"/>
      <c r="E51" s="62"/>
      <c r="F51" s="63"/>
      <c r="G51" s="64"/>
      <c r="H51" s="62"/>
      <c r="I51" s="63"/>
      <c r="J51" s="64"/>
      <c r="L51" s="56"/>
      <c r="X51" s="56"/>
    </row>
    <row r="52" ht="14.25" customHeight="1">
      <c r="B52" s="62"/>
      <c r="C52" s="63"/>
      <c r="D52" s="64"/>
      <c r="E52" s="62"/>
      <c r="F52" s="63"/>
      <c r="G52" s="64"/>
      <c r="H52" s="62"/>
      <c r="I52" s="63"/>
      <c r="J52" s="64"/>
      <c r="L52" s="56"/>
      <c r="X52" s="56"/>
    </row>
    <row r="53" ht="14.25" customHeight="1">
      <c r="B53" s="65"/>
      <c r="C53" s="66"/>
      <c r="D53" s="67"/>
      <c r="E53" s="65"/>
      <c r="F53" s="66"/>
      <c r="G53" s="67"/>
      <c r="H53" s="65"/>
      <c r="I53" s="66"/>
      <c r="J53" s="67"/>
      <c r="L53" s="56"/>
      <c r="X53" s="56"/>
    </row>
    <row r="54" ht="14.25" customHeight="1">
      <c r="L54" s="56"/>
      <c r="X54" s="56"/>
    </row>
    <row r="55" ht="14.25" customHeight="1">
      <c r="B55" s="1" t="s">
        <v>137</v>
      </c>
      <c r="C55" s="57">
        <f>EOMONTH(C42,0)+1</f>
        <v>45778</v>
      </c>
      <c r="L55" s="56"/>
      <c r="X55" s="56"/>
    </row>
    <row r="56" ht="14.25" customHeight="1">
      <c r="B56" s="1" t="s">
        <v>135</v>
      </c>
      <c r="L56" s="56"/>
      <c r="X56" s="56"/>
    </row>
    <row r="57" ht="14.25" customHeight="1">
      <c r="B57" s="4" t="s">
        <v>138</v>
      </c>
      <c r="C57" s="5"/>
      <c r="D57" s="58"/>
      <c r="E57" s="4" t="s">
        <v>10</v>
      </c>
      <c r="F57" s="5"/>
      <c r="G57" s="58"/>
      <c r="H57" s="4" t="s">
        <v>17</v>
      </c>
      <c r="I57" s="5"/>
      <c r="J57" s="58"/>
      <c r="L57" s="56"/>
      <c r="X57" s="56"/>
    </row>
    <row r="58" ht="14.25" customHeight="1">
      <c r="B58" s="59"/>
      <c r="C58" s="60"/>
      <c r="D58" s="61"/>
      <c r="E58" s="59"/>
      <c r="F58" s="60"/>
      <c r="G58" s="61"/>
      <c r="H58" s="59"/>
      <c r="I58" s="60"/>
      <c r="J58" s="61"/>
      <c r="L58" s="56"/>
      <c r="X58" s="56"/>
    </row>
    <row r="59" ht="14.25" customHeight="1">
      <c r="B59" s="62"/>
      <c r="C59" s="63"/>
      <c r="D59" s="64"/>
      <c r="E59" s="62"/>
      <c r="F59" s="63"/>
      <c r="G59" s="64"/>
      <c r="H59" s="62"/>
      <c r="I59" s="63"/>
      <c r="J59" s="64"/>
      <c r="L59" s="56"/>
      <c r="X59" s="56"/>
    </row>
    <row r="60" ht="14.25" customHeight="1">
      <c r="B60" s="62"/>
      <c r="C60" s="63"/>
      <c r="D60" s="64"/>
      <c r="E60" s="62"/>
      <c r="F60" s="63"/>
      <c r="G60" s="64"/>
      <c r="H60" s="62"/>
      <c r="I60" s="63"/>
      <c r="J60" s="64"/>
      <c r="L60" s="56"/>
      <c r="X60" s="56"/>
    </row>
    <row r="61" ht="14.25" customHeight="1">
      <c r="B61" s="62"/>
      <c r="C61" s="63"/>
      <c r="D61" s="64"/>
      <c r="E61" s="62"/>
      <c r="F61" s="63"/>
      <c r="G61" s="64"/>
      <c r="H61" s="62"/>
      <c r="I61" s="63"/>
      <c r="J61" s="64"/>
      <c r="L61" s="56"/>
      <c r="X61" s="56"/>
    </row>
    <row r="62" ht="14.25" customHeight="1">
      <c r="B62" s="62"/>
      <c r="C62" s="63"/>
      <c r="D62" s="64"/>
      <c r="E62" s="62"/>
      <c r="F62" s="63"/>
      <c r="G62" s="64"/>
      <c r="H62" s="62"/>
      <c r="I62" s="63"/>
      <c r="J62" s="64"/>
      <c r="L62" s="56"/>
      <c r="X62" s="56"/>
    </row>
    <row r="63" ht="14.25" customHeight="1">
      <c r="B63" s="62"/>
      <c r="C63" s="63"/>
      <c r="D63" s="64"/>
      <c r="E63" s="62"/>
      <c r="F63" s="63"/>
      <c r="G63" s="64"/>
      <c r="H63" s="62"/>
      <c r="I63" s="63"/>
      <c r="J63" s="64"/>
      <c r="L63" s="56"/>
      <c r="X63" s="56"/>
    </row>
    <row r="64" ht="14.25" customHeight="1">
      <c r="B64" s="62"/>
      <c r="C64" s="63"/>
      <c r="D64" s="64"/>
      <c r="E64" s="62"/>
      <c r="F64" s="63"/>
      <c r="G64" s="64"/>
      <c r="H64" s="62"/>
      <c r="I64" s="63"/>
      <c r="J64" s="64"/>
      <c r="L64" s="56"/>
      <c r="X64" s="56"/>
    </row>
    <row r="65" ht="14.25" customHeight="1">
      <c r="B65" s="62"/>
      <c r="C65" s="63"/>
      <c r="D65" s="64"/>
      <c r="E65" s="62"/>
      <c r="F65" s="63"/>
      <c r="G65" s="64"/>
      <c r="H65" s="62"/>
      <c r="I65" s="63"/>
      <c r="J65" s="64"/>
      <c r="L65" s="56"/>
      <c r="X65" s="56"/>
    </row>
    <row r="66" ht="14.25" customHeight="1">
      <c r="B66" s="65"/>
      <c r="C66" s="66"/>
      <c r="D66" s="67"/>
      <c r="E66" s="65"/>
      <c r="F66" s="66"/>
      <c r="G66" s="67"/>
      <c r="H66" s="65"/>
      <c r="I66" s="66"/>
      <c r="J66" s="67"/>
      <c r="L66" s="56"/>
      <c r="X66" s="56"/>
    </row>
    <row r="67" ht="14.25" customHeight="1">
      <c r="L67" s="56"/>
      <c r="X67" s="56"/>
    </row>
    <row r="68" ht="14.25" customHeight="1">
      <c r="B68" s="1" t="s">
        <v>137</v>
      </c>
      <c r="C68" s="57">
        <f>EOMONTH(C55,0)+1</f>
        <v>45809</v>
      </c>
      <c r="L68" s="56"/>
      <c r="X68" s="56"/>
    </row>
    <row r="69" ht="14.25" customHeight="1">
      <c r="B69" s="1" t="s">
        <v>135</v>
      </c>
      <c r="L69" s="56"/>
      <c r="X69" s="56"/>
    </row>
    <row r="70" ht="14.25" customHeight="1">
      <c r="B70" s="4" t="s">
        <v>138</v>
      </c>
      <c r="C70" s="5"/>
      <c r="D70" s="58"/>
      <c r="E70" s="4" t="s">
        <v>10</v>
      </c>
      <c r="F70" s="5"/>
      <c r="G70" s="58"/>
      <c r="H70" s="4" t="s">
        <v>17</v>
      </c>
      <c r="I70" s="5"/>
      <c r="J70" s="58"/>
      <c r="L70" s="56"/>
      <c r="X70" s="56"/>
    </row>
    <row r="71" ht="14.25" customHeight="1">
      <c r="B71" s="59"/>
      <c r="C71" s="60"/>
      <c r="D71" s="61"/>
      <c r="E71" s="59"/>
      <c r="F71" s="60"/>
      <c r="G71" s="61"/>
      <c r="H71" s="59"/>
      <c r="I71" s="60"/>
      <c r="J71" s="61"/>
      <c r="L71" s="56"/>
      <c r="X71" s="56"/>
    </row>
    <row r="72" ht="14.25" customHeight="1">
      <c r="B72" s="62"/>
      <c r="C72" s="63"/>
      <c r="D72" s="64"/>
      <c r="E72" s="62"/>
      <c r="F72" s="63"/>
      <c r="G72" s="64"/>
      <c r="H72" s="62"/>
      <c r="I72" s="63"/>
      <c r="J72" s="64"/>
      <c r="L72" s="56"/>
      <c r="X72" s="56"/>
    </row>
    <row r="73" ht="14.25" customHeight="1">
      <c r="B73" s="62"/>
      <c r="C73" s="63"/>
      <c r="D73" s="64"/>
      <c r="E73" s="62"/>
      <c r="F73" s="63"/>
      <c r="G73" s="64"/>
      <c r="H73" s="62"/>
      <c r="I73" s="63"/>
      <c r="J73" s="64"/>
      <c r="L73" s="56"/>
      <c r="X73" s="56"/>
    </row>
    <row r="74" ht="14.25" customHeight="1">
      <c r="B74" s="62"/>
      <c r="C74" s="63"/>
      <c r="D74" s="64"/>
      <c r="E74" s="62"/>
      <c r="F74" s="63"/>
      <c r="G74" s="64"/>
      <c r="H74" s="62"/>
      <c r="I74" s="63"/>
      <c r="J74" s="64"/>
      <c r="L74" s="56"/>
      <c r="X74" s="56"/>
    </row>
    <row r="75" ht="14.25" customHeight="1">
      <c r="B75" s="62"/>
      <c r="C75" s="63"/>
      <c r="D75" s="64"/>
      <c r="E75" s="62"/>
      <c r="F75" s="63"/>
      <c r="G75" s="64"/>
      <c r="H75" s="62"/>
      <c r="I75" s="63"/>
      <c r="J75" s="64"/>
      <c r="L75" s="56"/>
      <c r="X75" s="56"/>
    </row>
    <row r="76" ht="14.25" customHeight="1">
      <c r="B76" s="62"/>
      <c r="C76" s="63"/>
      <c r="D76" s="64"/>
      <c r="E76" s="62"/>
      <c r="F76" s="63"/>
      <c r="G76" s="64"/>
      <c r="H76" s="62"/>
      <c r="I76" s="63"/>
      <c r="J76" s="64"/>
      <c r="L76" s="56"/>
      <c r="X76" s="56"/>
    </row>
    <row r="77" ht="14.25" customHeight="1">
      <c r="B77" s="62"/>
      <c r="C77" s="63"/>
      <c r="D77" s="64"/>
      <c r="E77" s="62"/>
      <c r="F77" s="63"/>
      <c r="G77" s="64"/>
      <c r="H77" s="62"/>
      <c r="I77" s="63"/>
      <c r="J77" s="64"/>
      <c r="L77" s="56"/>
      <c r="X77" s="56"/>
    </row>
    <row r="78" ht="14.25" customHeight="1">
      <c r="B78" s="62"/>
      <c r="C78" s="63"/>
      <c r="D78" s="64"/>
      <c r="E78" s="62"/>
      <c r="F78" s="63"/>
      <c r="G78" s="64"/>
      <c r="H78" s="62"/>
      <c r="I78" s="63"/>
      <c r="J78" s="64"/>
      <c r="L78" s="56"/>
      <c r="X78" s="56"/>
    </row>
    <row r="79" ht="14.25" customHeight="1">
      <c r="B79" s="65"/>
      <c r="C79" s="66"/>
      <c r="D79" s="67"/>
      <c r="E79" s="65"/>
      <c r="F79" s="66"/>
      <c r="G79" s="67"/>
      <c r="H79" s="65"/>
      <c r="I79" s="66"/>
      <c r="J79" s="67"/>
      <c r="L79" s="56"/>
      <c r="X79" s="56"/>
    </row>
    <row r="80" ht="14.25" customHeight="1">
      <c r="L80" s="56"/>
      <c r="X80" s="56"/>
    </row>
    <row r="81" ht="14.25" customHeight="1">
      <c r="B81" s="1" t="s">
        <v>137</v>
      </c>
      <c r="C81" s="57">
        <f>EOMONTH(C68,0)+1</f>
        <v>45839</v>
      </c>
      <c r="L81" s="56"/>
      <c r="X81" s="56"/>
    </row>
    <row r="82" ht="14.25" customHeight="1">
      <c r="B82" s="1" t="s">
        <v>135</v>
      </c>
      <c r="L82" s="56"/>
      <c r="X82" s="56"/>
    </row>
    <row r="83" ht="14.25" customHeight="1">
      <c r="B83" s="4" t="s">
        <v>138</v>
      </c>
      <c r="C83" s="5"/>
      <c r="D83" s="58"/>
      <c r="E83" s="4" t="s">
        <v>10</v>
      </c>
      <c r="F83" s="5"/>
      <c r="G83" s="58"/>
      <c r="H83" s="4" t="s">
        <v>17</v>
      </c>
      <c r="I83" s="5"/>
      <c r="J83" s="58"/>
      <c r="L83" s="56"/>
      <c r="X83" s="56"/>
    </row>
    <row r="84" ht="14.25" customHeight="1">
      <c r="B84" s="59"/>
      <c r="C84" s="60"/>
      <c r="D84" s="61"/>
      <c r="E84" s="59"/>
      <c r="F84" s="60"/>
      <c r="G84" s="61"/>
      <c r="H84" s="59"/>
      <c r="I84" s="60"/>
      <c r="J84" s="61"/>
      <c r="L84" s="56"/>
      <c r="X84" s="56"/>
    </row>
    <row r="85" ht="14.25" customHeight="1">
      <c r="B85" s="62"/>
      <c r="C85" s="63"/>
      <c r="D85" s="64"/>
      <c r="E85" s="62"/>
      <c r="F85" s="63"/>
      <c r="G85" s="64"/>
      <c r="H85" s="62"/>
      <c r="I85" s="63"/>
      <c r="J85" s="64"/>
      <c r="L85" s="56"/>
      <c r="X85" s="56"/>
    </row>
    <row r="86" ht="14.25" customHeight="1">
      <c r="B86" s="62"/>
      <c r="C86" s="63"/>
      <c r="D86" s="64"/>
      <c r="E86" s="62"/>
      <c r="F86" s="63"/>
      <c r="G86" s="64"/>
      <c r="H86" s="62"/>
      <c r="I86" s="63"/>
      <c r="J86" s="64"/>
      <c r="L86" s="56"/>
      <c r="X86" s="56"/>
    </row>
    <row r="87" ht="14.25" customHeight="1">
      <c r="B87" s="62"/>
      <c r="C87" s="63"/>
      <c r="D87" s="64"/>
      <c r="E87" s="62"/>
      <c r="F87" s="63"/>
      <c r="G87" s="64"/>
      <c r="H87" s="62"/>
      <c r="I87" s="63"/>
      <c r="J87" s="64"/>
      <c r="L87" s="56"/>
      <c r="X87" s="56"/>
    </row>
    <row r="88" ht="14.25" customHeight="1">
      <c r="B88" s="62"/>
      <c r="C88" s="63"/>
      <c r="D88" s="64"/>
      <c r="E88" s="62"/>
      <c r="F88" s="63"/>
      <c r="G88" s="64"/>
      <c r="H88" s="62"/>
      <c r="I88" s="63"/>
      <c r="J88" s="64"/>
      <c r="L88" s="56"/>
      <c r="X88" s="56"/>
    </row>
    <row r="89" ht="14.25" customHeight="1">
      <c r="B89" s="62"/>
      <c r="C89" s="63"/>
      <c r="D89" s="64"/>
      <c r="E89" s="62"/>
      <c r="F89" s="63"/>
      <c r="G89" s="64"/>
      <c r="H89" s="62"/>
      <c r="I89" s="63"/>
      <c r="J89" s="64"/>
      <c r="L89" s="56"/>
      <c r="X89" s="56"/>
    </row>
    <row r="90" ht="14.25" customHeight="1">
      <c r="B90" s="62"/>
      <c r="C90" s="63"/>
      <c r="D90" s="64"/>
      <c r="E90" s="62"/>
      <c r="F90" s="63"/>
      <c r="G90" s="64"/>
      <c r="H90" s="62"/>
      <c r="I90" s="63"/>
      <c r="J90" s="64"/>
      <c r="L90" s="56"/>
      <c r="X90" s="56"/>
    </row>
    <row r="91" ht="14.25" customHeight="1">
      <c r="B91" s="62"/>
      <c r="C91" s="63"/>
      <c r="D91" s="64"/>
      <c r="E91" s="62"/>
      <c r="F91" s="63"/>
      <c r="G91" s="64"/>
      <c r="H91" s="62"/>
      <c r="I91" s="63"/>
      <c r="J91" s="64"/>
      <c r="L91" s="56"/>
      <c r="X91" s="56"/>
    </row>
    <row r="92" ht="14.25" customHeight="1">
      <c r="B92" s="65"/>
      <c r="C92" s="66"/>
      <c r="D92" s="67"/>
      <c r="E92" s="65"/>
      <c r="F92" s="66"/>
      <c r="G92" s="67"/>
      <c r="H92" s="65"/>
      <c r="I92" s="66"/>
      <c r="J92" s="67"/>
      <c r="L92" s="56"/>
      <c r="X92" s="56"/>
    </row>
    <row r="93" ht="14.25" customHeight="1">
      <c r="L93" s="56"/>
      <c r="X93" s="56"/>
    </row>
    <row r="94" ht="14.25" customHeight="1">
      <c r="B94" s="1" t="s">
        <v>137</v>
      </c>
      <c r="C94" s="57">
        <f>EOMONTH(C81,0)+1</f>
        <v>45870</v>
      </c>
      <c r="L94" s="56"/>
      <c r="X94" s="56"/>
    </row>
    <row r="95" ht="14.25" customHeight="1">
      <c r="B95" s="1" t="s">
        <v>135</v>
      </c>
      <c r="L95" s="56"/>
      <c r="X95" s="56"/>
    </row>
    <row r="96" ht="14.25" customHeight="1">
      <c r="B96" s="4" t="s">
        <v>138</v>
      </c>
      <c r="C96" s="5"/>
      <c r="D96" s="58"/>
      <c r="E96" s="4" t="s">
        <v>10</v>
      </c>
      <c r="F96" s="5"/>
      <c r="G96" s="58"/>
      <c r="H96" s="4" t="s">
        <v>17</v>
      </c>
      <c r="I96" s="5"/>
      <c r="J96" s="58"/>
      <c r="L96" s="56"/>
      <c r="X96" s="56"/>
    </row>
    <row r="97" ht="14.25" customHeight="1">
      <c r="B97" s="59"/>
      <c r="C97" s="60"/>
      <c r="D97" s="61"/>
      <c r="E97" s="59"/>
      <c r="F97" s="60"/>
      <c r="G97" s="61"/>
      <c r="H97" s="59"/>
      <c r="I97" s="60"/>
      <c r="J97" s="61"/>
      <c r="L97" s="56"/>
      <c r="X97" s="56"/>
    </row>
    <row r="98" ht="14.25" customHeight="1">
      <c r="B98" s="62"/>
      <c r="C98" s="63"/>
      <c r="D98" s="64"/>
      <c r="E98" s="62"/>
      <c r="F98" s="63"/>
      <c r="G98" s="64"/>
      <c r="H98" s="62"/>
      <c r="I98" s="63"/>
      <c r="J98" s="64"/>
      <c r="L98" s="56"/>
      <c r="X98" s="56"/>
    </row>
    <row r="99" ht="14.25" customHeight="1">
      <c r="B99" s="62"/>
      <c r="C99" s="63"/>
      <c r="D99" s="64"/>
      <c r="E99" s="62"/>
      <c r="F99" s="63"/>
      <c r="G99" s="64"/>
      <c r="H99" s="62"/>
      <c r="I99" s="63"/>
      <c r="J99" s="64"/>
      <c r="L99" s="56"/>
      <c r="X99" s="56"/>
    </row>
    <row r="100" ht="14.25" customHeight="1">
      <c r="B100" s="62"/>
      <c r="C100" s="63"/>
      <c r="D100" s="64"/>
      <c r="E100" s="62"/>
      <c r="F100" s="63"/>
      <c r="G100" s="64"/>
      <c r="H100" s="62"/>
      <c r="I100" s="63"/>
      <c r="J100" s="64"/>
      <c r="L100" s="56"/>
      <c r="X100" s="56"/>
    </row>
    <row r="101" ht="14.25" customHeight="1">
      <c r="B101" s="62"/>
      <c r="C101" s="63"/>
      <c r="D101" s="64"/>
      <c r="E101" s="62"/>
      <c r="F101" s="63"/>
      <c r="G101" s="64"/>
      <c r="H101" s="62"/>
      <c r="I101" s="63"/>
      <c r="J101" s="64"/>
      <c r="L101" s="56"/>
      <c r="X101" s="56"/>
    </row>
    <row r="102" ht="14.25" customHeight="1">
      <c r="B102" s="62"/>
      <c r="C102" s="63"/>
      <c r="D102" s="64"/>
      <c r="E102" s="62"/>
      <c r="F102" s="63"/>
      <c r="G102" s="64"/>
      <c r="H102" s="62"/>
      <c r="I102" s="63"/>
      <c r="J102" s="64"/>
      <c r="L102" s="56"/>
      <c r="X102" s="56"/>
    </row>
    <row r="103" ht="14.25" customHeight="1">
      <c r="B103" s="62"/>
      <c r="C103" s="63"/>
      <c r="D103" s="64"/>
      <c r="E103" s="62"/>
      <c r="F103" s="63"/>
      <c r="G103" s="64"/>
      <c r="H103" s="62"/>
      <c r="I103" s="63"/>
      <c r="J103" s="64"/>
      <c r="L103" s="56"/>
      <c r="X103" s="56"/>
    </row>
    <row r="104" ht="14.25" customHeight="1">
      <c r="B104" s="62"/>
      <c r="C104" s="63"/>
      <c r="D104" s="64"/>
      <c r="E104" s="62"/>
      <c r="F104" s="63"/>
      <c r="G104" s="64"/>
      <c r="H104" s="62"/>
      <c r="I104" s="63"/>
      <c r="J104" s="64"/>
      <c r="L104" s="56"/>
      <c r="X104" s="56"/>
    </row>
    <row r="105" ht="14.25" customHeight="1">
      <c r="B105" s="65"/>
      <c r="C105" s="66"/>
      <c r="D105" s="67"/>
      <c r="E105" s="65"/>
      <c r="F105" s="66"/>
      <c r="G105" s="67"/>
      <c r="H105" s="65"/>
      <c r="I105" s="66"/>
      <c r="J105" s="67"/>
      <c r="L105" s="56"/>
      <c r="X105" s="56"/>
    </row>
    <row r="106" ht="14.25" customHeight="1">
      <c r="L106" s="56"/>
      <c r="X106" s="56"/>
    </row>
    <row r="107" ht="14.25" customHeight="1">
      <c r="B107" s="1" t="s">
        <v>137</v>
      </c>
      <c r="C107" s="57">
        <f>EOMONTH(C94,0)+1</f>
        <v>45901</v>
      </c>
      <c r="L107" s="56"/>
      <c r="X107" s="56"/>
    </row>
    <row r="108" ht="14.25" customHeight="1">
      <c r="B108" s="1" t="s">
        <v>135</v>
      </c>
      <c r="L108" s="56"/>
      <c r="X108" s="56"/>
    </row>
    <row r="109" ht="14.25" customHeight="1">
      <c r="B109" s="4" t="s">
        <v>138</v>
      </c>
      <c r="C109" s="5"/>
      <c r="D109" s="58"/>
      <c r="E109" s="4" t="s">
        <v>10</v>
      </c>
      <c r="F109" s="5"/>
      <c r="G109" s="58"/>
      <c r="H109" s="4" t="s">
        <v>17</v>
      </c>
      <c r="I109" s="5"/>
      <c r="J109" s="58"/>
      <c r="L109" s="56"/>
      <c r="X109" s="56"/>
    </row>
    <row r="110" ht="14.25" customHeight="1">
      <c r="B110" s="59"/>
      <c r="C110" s="60"/>
      <c r="D110" s="61"/>
      <c r="E110" s="59"/>
      <c r="F110" s="60"/>
      <c r="G110" s="61"/>
      <c r="H110" s="59"/>
      <c r="I110" s="60"/>
      <c r="J110" s="61"/>
      <c r="L110" s="56"/>
      <c r="X110" s="56"/>
    </row>
    <row r="111" ht="14.25" customHeight="1">
      <c r="B111" s="62"/>
      <c r="C111" s="63"/>
      <c r="D111" s="64"/>
      <c r="E111" s="62"/>
      <c r="F111" s="63"/>
      <c r="G111" s="64"/>
      <c r="H111" s="62"/>
      <c r="I111" s="63"/>
      <c r="J111" s="64"/>
      <c r="L111" s="56"/>
      <c r="X111" s="56"/>
    </row>
    <row r="112" ht="14.25" customHeight="1">
      <c r="B112" s="62"/>
      <c r="C112" s="63"/>
      <c r="D112" s="64"/>
      <c r="E112" s="62"/>
      <c r="F112" s="63"/>
      <c r="G112" s="64"/>
      <c r="H112" s="62"/>
      <c r="I112" s="63"/>
      <c r="J112" s="64"/>
      <c r="L112" s="56"/>
      <c r="X112" s="56"/>
    </row>
    <row r="113" ht="14.25" customHeight="1">
      <c r="B113" s="62"/>
      <c r="C113" s="63"/>
      <c r="D113" s="64"/>
      <c r="E113" s="62"/>
      <c r="F113" s="63"/>
      <c r="G113" s="64"/>
      <c r="H113" s="62"/>
      <c r="I113" s="63"/>
      <c r="J113" s="64"/>
      <c r="L113" s="56"/>
      <c r="X113" s="56"/>
    </row>
    <row r="114" ht="14.25" customHeight="1">
      <c r="B114" s="62"/>
      <c r="C114" s="63"/>
      <c r="D114" s="64"/>
      <c r="E114" s="62"/>
      <c r="F114" s="63"/>
      <c r="G114" s="64"/>
      <c r="H114" s="62"/>
      <c r="I114" s="63"/>
      <c r="J114" s="64"/>
      <c r="L114" s="56"/>
      <c r="X114" s="56"/>
    </row>
    <row r="115" ht="14.25" customHeight="1">
      <c r="B115" s="62"/>
      <c r="C115" s="63"/>
      <c r="D115" s="64"/>
      <c r="E115" s="62"/>
      <c r="F115" s="63"/>
      <c r="G115" s="64"/>
      <c r="H115" s="62"/>
      <c r="I115" s="63"/>
      <c r="J115" s="64"/>
      <c r="L115" s="56"/>
      <c r="X115" s="56"/>
    </row>
    <row r="116" ht="14.25" customHeight="1">
      <c r="B116" s="62"/>
      <c r="C116" s="63"/>
      <c r="D116" s="64"/>
      <c r="E116" s="62"/>
      <c r="F116" s="63"/>
      <c r="G116" s="64"/>
      <c r="H116" s="62"/>
      <c r="I116" s="63"/>
      <c r="J116" s="64"/>
      <c r="L116" s="56"/>
      <c r="X116" s="56"/>
    </row>
    <row r="117" ht="14.25" customHeight="1">
      <c r="B117" s="62"/>
      <c r="C117" s="63"/>
      <c r="D117" s="64"/>
      <c r="E117" s="62"/>
      <c r="F117" s="63"/>
      <c r="G117" s="64"/>
      <c r="H117" s="62"/>
      <c r="I117" s="63"/>
      <c r="J117" s="64"/>
      <c r="L117" s="56"/>
      <c r="X117" s="56"/>
    </row>
    <row r="118" ht="14.25" customHeight="1">
      <c r="B118" s="65"/>
      <c r="C118" s="66"/>
      <c r="D118" s="67"/>
      <c r="E118" s="65"/>
      <c r="F118" s="66"/>
      <c r="G118" s="67"/>
      <c r="H118" s="65"/>
      <c r="I118" s="66"/>
      <c r="J118" s="67"/>
      <c r="L118" s="56"/>
      <c r="X118" s="56"/>
    </row>
    <row r="119" ht="14.25" customHeight="1">
      <c r="L119" s="56"/>
      <c r="X119" s="56"/>
    </row>
    <row r="120" ht="14.25" customHeight="1">
      <c r="B120" s="1" t="s">
        <v>137</v>
      </c>
      <c r="C120" s="57">
        <f>EOMONTH(C107,0)+1</f>
        <v>45931</v>
      </c>
      <c r="L120" s="56"/>
      <c r="X120" s="56"/>
    </row>
    <row r="121" ht="14.25" customHeight="1">
      <c r="B121" s="1" t="s">
        <v>135</v>
      </c>
      <c r="L121" s="56"/>
      <c r="X121" s="56"/>
    </row>
    <row r="122" ht="14.25" customHeight="1">
      <c r="B122" s="4" t="s">
        <v>138</v>
      </c>
      <c r="C122" s="5"/>
      <c r="D122" s="58"/>
      <c r="E122" s="4" t="s">
        <v>10</v>
      </c>
      <c r="F122" s="5"/>
      <c r="G122" s="58"/>
      <c r="H122" s="4" t="s">
        <v>17</v>
      </c>
      <c r="I122" s="5"/>
      <c r="J122" s="58"/>
      <c r="L122" s="56"/>
      <c r="X122" s="56"/>
    </row>
    <row r="123" ht="14.25" customHeight="1">
      <c r="B123" s="59"/>
      <c r="C123" s="60"/>
      <c r="D123" s="61"/>
      <c r="E123" s="59"/>
      <c r="F123" s="60"/>
      <c r="G123" s="61"/>
      <c r="H123" s="59"/>
      <c r="I123" s="60"/>
      <c r="J123" s="61"/>
      <c r="L123" s="56"/>
      <c r="X123" s="56"/>
    </row>
    <row r="124" ht="14.25" customHeight="1">
      <c r="B124" s="62"/>
      <c r="C124" s="63"/>
      <c r="D124" s="64"/>
      <c r="E124" s="62"/>
      <c r="F124" s="63"/>
      <c r="G124" s="64"/>
      <c r="H124" s="62"/>
      <c r="I124" s="63"/>
      <c r="J124" s="64"/>
      <c r="L124" s="56"/>
      <c r="X124" s="56"/>
    </row>
    <row r="125" ht="14.25" customHeight="1">
      <c r="B125" s="62"/>
      <c r="C125" s="63"/>
      <c r="D125" s="64"/>
      <c r="E125" s="62"/>
      <c r="F125" s="63"/>
      <c r="G125" s="64"/>
      <c r="H125" s="62"/>
      <c r="I125" s="63"/>
      <c r="J125" s="64"/>
      <c r="L125" s="56"/>
      <c r="X125" s="56"/>
    </row>
    <row r="126" ht="14.25" customHeight="1">
      <c r="B126" s="62"/>
      <c r="C126" s="63"/>
      <c r="D126" s="64"/>
      <c r="E126" s="62"/>
      <c r="F126" s="63"/>
      <c r="G126" s="64"/>
      <c r="H126" s="62"/>
      <c r="I126" s="63"/>
      <c r="J126" s="64"/>
      <c r="L126" s="56"/>
      <c r="X126" s="56"/>
    </row>
    <row r="127" ht="14.25" customHeight="1">
      <c r="B127" s="62"/>
      <c r="C127" s="63"/>
      <c r="D127" s="64"/>
      <c r="E127" s="62"/>
      <c r="F127" s="63"/>
      <c r="G127" s="64"/>
      <c r="H127" s="62"/>
      <c r="I127" s="63"/>
      <c r="J127" s="64"/>
      <c r="L127" s="56"/>
      <c r="X127" s="56"/>
    </row>
    <row r="128" ht="14.25" customHeight="1">
      <c r="B128" s="62"/>
      <c r="C128" s="63"/>
      <c r="D128" s="64"/>
      <c r="E128" s="62"/>
      <c r="F128" s="63"/>
      <c r="G128" s="64"/>
      <c r="H128" s="62"/>
      <c r="I128" s="63"/>
      <c r="J128" s="64"/>
      <c r="L128" s="56"/>
      <c r="X128" s="56"/>
    </row>
    <row r="129" ht="14.25" customHeight="1">
      <c r="B129" s="62"/>
      <c r="C129" s="63"/>
      <c r="D129" s="64"/>
      <c r="E129" s="62"/>
      <c r="F129" s="63"/>
      <c r="G129" s="64"/>
      <c r="H129" s="62"/>
      <c r="I129" s="63"/>
      <c r="J129" s="64"/>
      <c r="L129" s="56"/>
      <c r="X129" s="56"/>
    </row>
    <row r="130" ht="14.25" customHeight="1">
      <c r="B130" s="62"/>
      <c r="C130" s="63"/>
      <c r="D130" s="64"/>
      <c r="E130" s="62"/>
      <c r="F130" s="63"/>
      <c r="G130" s="64"/>
      <c r="H130" s="62"/>
      <c r="I130" s="63"/>
      <c r="J130" s="64"/>
      <c r="L130" s="56"/>
      <c r="X130" s="56"/>
    </row>
    <row r="131" ht="14.25" customHeight="1">
      <c r="B131" s="65"/>
      <c r="C131" s="66"/>
      <c r="D131" s="67"/>
      <c r="E131" s="65"/>
      <c r="F131" s="66"/>
      <c r="G131" s="67"/>
      <c r="H131" s="65"/>
      <c r="I131" s="66"/>
      <c r="J131" s="67"/>
      <c r="L131" s="56"/>
      <c r="X131" s="56"/>
    </row>
    <row r="132" ht="14.25" customHeight="1">
      <c r="L132" s="56"/>
      <c r="X132" s="56"/>
    </row>
    <row r="133" ht="14.25" customHeight="1">
      <c r="B133" s="1" t="s">
        <v>137</v>
      </c>
      <c r="C133" s="57">
        <f>EOMONTH(C120,0)+1</f>
        <v>45962</v>
      </c>
      <c r="L133" s="56"/>
      <c r="X133" s="56"/>
    </row>
    <row r="134" ht="14.25" customHeight="1">
      <c r="B134" s="1" t="s">
        <v>135</v>
      </c>
      <c r="L134" s="56"/>
      <c r="X134" s="56"/>
    </row>
    <row r="135" ht="14.25" customHeight="1">
      <c r="B135" s="4" t="s">
        <v>138</v>
      </c>
      <c r="C135" s="5"/>
      <c r="D135" s="58"/>
      <c r="E135" s="4" t="s">
        <v>10</v>
      </c>
      <c r="F135" s="5"/>
      <c r="G135" s="58"/>
      <c r="H135" s="4" t="s">
        <v>17</v>
      </c>
      <c r="I135" s="5"/>
      <c r="J135" s="58"/>
      <c r="L135" s="56"/>
      <c r="X135" s="56"/>
    </row>
    <row r="136" ht="14.25" customHeight="1">
      <c r="B136" s="59"/>
      <c r="C136" s="60"/>
      <c r="D136" s="61"/>
      <c r="E136" s="59"/>
      <c r="F136" s="60"/>
      <c r="G136" s="61"/>
      <c r="H136" s="59"/>
      <c r="I136" s="60"/>
      <c r="J136" s="61"/>
      <c r="L136" s="56"/>
      <c r="X136" s="56"/>
    </row>
    <row r="137" ht="14.25" customHeight="1">
      <c r="B137" s="62"/>
      <c r="C137" s="63"/>
      <c r="D137" s="64"/>
      <c r="E137" s="62"/>
      <c r="F137" s="63"/>
      <c r="G137" s="64"/>
      <c r="H137" s="62"/>
      <c r="I137" s="63"/>
      <c r="J137" s="64"/>
      <c r="L137" s="56"/>
      <c r="X137" s="56"/>
    </row>
    <row r="138" ht="14.25" customHeight="1">
      <c r="B138" s="62"/>
      <c r="C138" s="63"/>
      <c r="D138" s="64"/>
      <c r="E138" s="62"/>
      <c r="F138" s="63"/>
      <c r="G138" s="64"/>
      <c r="H138" s="62"/>
      <c r="I138" s="63"/>
      <c r="J138" s="64"/>
      <c r="L138" s="56"/>
      <c r="X138" s="56"/>
    </row>
    <row r="139" ht="14.25" customHeight="1">
      <c r="B139" s="62"/>
      <c r="C139" s="63"/>
      <c r="D139" s="64"/>
      <c r="E139" s="62"/>
      <c r="F139" s="63"/>
      <c r="G139" s="64"/>
      <c r="H139" s="62"/>
      <c r="I139" s="63"/>
      <c r="J139" s="64"/>
      <c r="L139" s="56"/>
      <c r="X139" s="56"/>
    </row>
    <row r="140" ht="14.25" customHeight="1">
      <c r="B140" s="62"/>
      <c r="C140" s="63"/>
      <c r="D140" s="64"/>
      <c r="E140" s="62"/>
      <c r="F140" s="63"/>
      <c r="G140" s="64"/>
      <c r="H140" s="62"/>
      <c r="I140" s="63"/>
      <c r="J140" s="64"/>
      <c r="L140" s="56"/>
      <c r="X140" s="56"/>
    </row>
    <row r="141" ht="14.25" customHeight="1">
      <c r="B141" s="62"/>
      <c r="C141" s="63"/>
      <c r="D141" s="64"/>
      <c r="E141" s="62"/>
      <c r="F141" s="63"/>
      <c r="G141" s="64"/>
      <c r="H141" s="62"/>
      <c r="I141" s="63"/>
      <c r="J141" s="64"/>
      <c r="L141" s="56"/>
      <c r="X141" s="56"/>
    </row>
    <row r="142" ht="14.25" customHeight="1">
      <c r="B142" s="62"/>
      <c r="C142" s="63"/>
      <c r="D142" s="64"/>
      <c r="E142" s="62"/>
      <c r="F142" s="63"/>
      <c r="G142" s="64"/>
      <c r="H142" s="62"/>
      <c r="I142" s="63"/>
      <c r="J142" s="64"/>
      <c r="L142" s="56"/>
      <c r="X142" s="56"/>
    </row>
    <row r="143" ht="14.25" customHeight="1">
      <c r="B143" s="62"/>
      <c r="C143" s="63"/>
      <c r="D143" s="64"/>
      <c r="E143" s="62"/>
      <c r="F143" s="63"/>
      <c r="G143" s="64"/>
      <c r="H143" s="62"/>
      <c r="I143" s="63"/>
      <c r="J143" s="64"/>
      <c r="L143" s="56"/>
      <c r="X143" s="56"/>
    </row>
    <row r="144" ht="14.25" customHeight="1">
      <c r="B144" s="65"/>
      <c r="C144" s="66"/>
      <c r="D144" s="67"/>
      <c r="E144" s="65"/>
      <c r="F144" s="66"/>
      <c r="G144" s="67"/>
      <c r="H144" s="65"/>
      <c r="I144" s="66"/>
      <c r="J144" s="67"/>
      <c r="L144" s="56"/>
      <c r="X144" s="56"/>
    </row>
    <row r="145" ht="14.25" customHeight="1">
      <c r="L145" s="56"/>
      <c r="X145" s="56"/>
    </row>
    <row r="146" ht="14.25" customHeight="1">
      <c r="B146" s="1" t="s">
        <v>137</v>
      </c>
      <c r="C146" s="57">
        <f>EOMONTH(C133,0)+1</f>
        <v>45992</v>
      </c>
      <c r="L146" s="56"/>
      <c r="X146" s="56"/>
    </row>
    <row r="147" ht="14.25" customHeight="1">
      <c r="B147" s="1" t="s">
        <v>135</v>
      </c>
      <c r="L147" s="56"/>
      <c r="X147" s="56"/>
    </row>
    <row r="148" ht="14.25" customHeight="1">
      <c r="B148" s="4" t="s">
        <v>138</v>
      </c>
      <c r="C148" s="5"/>
      <c r="D148" s="58"/>
      <c r="E148" s="4" t="s">
        <v>10</v>
      </c>
      <c r="F148" s="5"/>
      <c r="G148" s="58"/>
      <c r="H148" s="4" t="s">
        <v>17</v>
      </c>
      <c r="I148" s="5"/>
      <c r="J148" s="58"/>
      <c r="L148" s="56"/>
      <c r="X148" s="56"/>
    </row>
    <row r="149" ht="14.25" customHeight="1">
      <c r="B149" s="59"/>
      <c r="C149" s="60"/>
      <c r="D149" s="61"/>
      <c r="E149" s="59"/>
      <c r="F149" s="60"/>
      <c r="G149" s="61"/>
      <c r="H149" s="59"/>
      <c r="I149" s="60"/>
      <c r="J149" s="61"/>
      <c r="L149" s="56"/>
      <c r="X149" s="56"/>
    </row>
    <row r="150" ht="14.25" customHeight="1">
      <c r="B150" s="62"/>
      <c r="C150" s="63"/>
      <c r="D150" s="64"/>
      <c r="E150" s="62"/>
      <c r="F150" s="63"/>
      <c r="G150" s="64"/>
      <c r="H150" s="62"/>
      <c r="I150" s="63"/>
      <c r="J150" s="64"/>
      <c r="L150" s="56"/>
      <c r="X150" s="56"/>
    </row>
    <row r="151" ht="14.25" customHeight="1">
      <c r="B151" s="62"/>
      <c r="C151" s="63"/>
      <c r="D151" s="64"/>
      <c r="E151" s="62"/>
      <c r="F151" s="63"/>
      <c r="G151" s="64"/>
      <c r="H151" s="62"/>
      <c r="I151" s="63"/>
      <c r="J151" s="64"/>
      <c r="L151" s="56"/>
      <c r="X151" s="56"/>
    </row>
    <row r="152" ht="14.25" customHeight="1">
      <c r="B152" s="62"/>
      <c r="C152" s="63"/>
      <c r="D152" s="64"/>
      <c r="E152" s="62"/>
      <c r="F152" s="63"/>
      <c r="G152" s="64"/>
      <c r="H152" s="62"/>
      <c r="I152" s="63"/>
      <c r="J152" s="64"/>
      <c r="L152" s="56"/>
      <c r="X152" s="56"/>
    </row>
    <row r="153" ht="14.25" customHeight="1">
      <c r="B153" s="62"/>
      <c r="C153" s="63"/>
      <c r="D153" s="64"/>
      <c r="E153" s="62"/>
      <c r="F153" s="63"/>
      <c r="G153" s="64"/>
      <c r="H153" s="62"/>
      <c r="I153" s="63"/>
      <c r="J153" s="64"/>
      <c r="L153" s="56"/>
      <c r="X153" s="56"/>
    </row>
    <row r="154" ht="14.25" customHeight="1">
      <c r="B154" s="62"/>
      <c r="C154" s="63"/>
      <c r="D154" s="64"/>
      <c r="E154" s="62"/>
      <c r="F154" s="63"/>
      <c r="G154" s="64"/>
      <c r="H154" s="62"/>
      <c r="I154" s="63"/>
      <c r="J154" s="64"/>
      <c r="L154" s="56"/>
      <c r="X154" s="56"/>
    </row>
    <row r="155" ht="14.25" customHeight="1">
      <c r="B155" s="62"/>
      <c r="C155" s="63"/>
      <c r="D155" s="64"/>
      <c r="E155" s="62"/>
      <c r="F155" s="63"/>
      <c r="G155" s="64"/>
      <c r="H155" s="62"/>
      <c r="I155" s="63"/>
      <c r="J155" s="64"/>
      <c r="L155" s="56"/>
      <c r="X155" s="56"/>
    </row>
    <row r="156" ht="14.25" customHeight="1">
      <c r="B156" s="62"/>
      <c r="C156" s="63"/>
      <c r="D156" s="64"/>
      <c r="E156" s="62"/>
      <c r="F156" s="63"/>
      <c r="G156" s="64"/>
      <c r="H156" s="62"/>
      <c r="I156" s="63"/>
      <c r="J156" s="64"/>
      <c r="L156" s="56"/>
      <c r="X156" s="56"/>
    </row>
    <row r="157" ht="14.25" customHeight="1">
      <c r="B157" s="65"/>
      <c r="C157" s="66"/>
      <c r="D157" s="67"/>
      <c r="E157" s="65"/>
      <c r="F157" s="66"/>
      <c r="G157" s="67"/>
      <c r="H157" s="65"/>
      <c r="I157" s="66"/>
      <c r="J157" s="67"/>
      <c r="L157" s="56"/>
      <c r="X157" s="56"/>
    </row>
    <row r="158" ht="14.25" customHeight="1">
      <c r="L158" s="56"/>
      <c r="X158" s="56"/>
    </row>
    <row r="159" ht="14.25" customHeight="1">
      <c r="L159" s="56"/>
      <c r="X159" s="56"/>
    </row>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2">
    <mergeCell ref="N18:P18"/>
    <mergeCell ref="Q18:S18"/>
    <mergeCell ref="B5:D5"/>
    <mergeCell ref="E5:G5"/>
    <mergeCell ref="H5:J5"/>
    <mergeCell ref="N5:P5"/>
    <mergeCell ref="Q5:S5"/>
    <mergeCell ref="T5:V5"/>
    <mergeCell ref="B18:D18"/>
    <mergeCell ref="T18:V18"/>
    <mergeCell ref="E18:G18"/>
    <mergeCell ref="H18:J18"/>
    <mergeCell ref="B31:D31"/>
    <mergeCell ref="E31:G31"/>
    <mergeCell ref="H31:J31"/>
    <mergeCell ref="E44:G44"/>
    <mergeCell ref="H44:J44"/>
    <mergeCell ref="B44:D44"/>
    <mergeCell ref="B57:D57"/>
    <mergeCell ref="E57:G57"/>
    <mergeCell ref="H57:J57"/>
    <mergeCell ref="B70:D70"/>
    <mergeCell ref="E70:G70"/>
    <mergeCell ref="H70:J70"/>
    <mergeCell ref="E109:G109"/>
    <mergeCell ref="H109:J109"/>
    <mergeCell ref="B83:D83"/>
    <mergeCell ref="E83:G83"/>
    <mergeCell ref="H83:J83"/>
    <mergeCell ref="B96:D96"/>
    <mergeCell ref="E96:G96"/>
    <mergeCell ref="H96:J96"/>
    <mergeCell ref="B109:D109"/>
    <mergeCell ref="E148:G148"/>
    <mergeCell ref="H148:J148"/>
    <mergeCell ref="B122:D122"/>
    <mergeCell ref="E122:G122"/>
    <mergeCell ref="H122:J122"/>
    <mergeCell ref="B135:D135"/>
    <mergeCell ref="E135:G135"/>
    <mergeCell ref="H135:J135"/>
    <mergeCell ref="B148:D14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13.86"/>
    <col customWidth="1" min="3" max="3" width="22.71"/>
    <col customWidth="1" min="4" max="4" width="21.14"/>
    <col customWidth="1" min="5" max="26" width="8.71"/>
  </cols>
  <sheetData>
    <row r="1" ht="14.25" customHeight="1"/>
    <row r="2" ht="14.25" customHeight="1">
      <c r="B2" s="68">
        <f t="shared" ref="B2:C2" si="1">SUBTOTAL(3,B5:B94)</f>
        <v>90</v>
      </c>
      <c r="C2" s="68">
        <f t="shared" si="1"/>
        <v>90</v>
      </c>
      <c r="D2" s="69"/>
    </row>
    <row r="3" ht="14.25" customHeight="1">
      <c r="B3" s="70" t="s">
        <v>139</v>
      </c>
      <c r="C3" s="70" t="s">
        <v>140</v>
      </c>
      <c r="D3" s="70" t="s">
        <v>31</v>
      </c>
    </row>
    <row r="4" ht="13.5" customHeight="1">
      <c r="B4" s="71" t="s">
        <v>141</v>
      </c>
      <c r="C4" s="71" t="s">
        <v>142</v>
      </c>
      <c r="D4" s="49" t="s">
        <v>34</v>
      </c>
    </row>
    <row r="5" ht="13.5" customHeight="1">
      <c r="B5" s="71" t="s">
        <v>143</v>
      </c>
      <c r="C5" s="71" t="s">
        <v>144</v>
      </c>
      <c r="D5" s="49" t="str">
        <f t="shared" ref="D5:D94" si="2">CONCATENATE("DIODA-",RIGHT(B5,4))</f>
        <v>DIODA-001X</v>
      </c>
    </row>
    <row r="6" ht="13.5" customHeight="1">
      <c r="B6" s="71" t="s">
        <v>145</v>
      </c>
      <c r="C6" s="71" t="s">
        <v>146</v>
      </c>
      <c r="D6" s="49" t="str">
        <f t="shared" si="2"/>
        <v>DIODA-0028</v>
      </c>
    </row>
    <row r="7" ht="13.5" customHeight="1">
      <c r="B7" s="71" t="s">
        <v>147</v>
      </c>
      <c r="C7" s="71" t="s">
        <v>148</v>
      </c>
      <c r="D7" s="49" t="str">
        <f t="shared" si="2"/>
        <v>DIODA-0036</v>
      </c>
    </row>
    <row r="8" ht="13.5" customHeight="1">
      <c r="B8" s="71" t="s">
        <v>149</v>
      </c>
      <c r="C8" s="71" t="s">
        <v>150</v>
      </c>
      <c r="D8" s="49" t="str">
        <f t="shared" si="2"/>
        <v>DIODA-0044</v>
      </c>
    </row>
    <row r="9" ht="13.5" customHeight="1">
      <c r="B9" s="71" t="s">
        <v>151</v>
      </c>
      <c r="C9" s="71" t="s">
        <v>152</v>
      </c>
      <c r="D9" s="49" t="str">
        <f t="shared" si="2"/>
        <v>DIODA-0052</v>
      </c>
    </row>
    <row r="10" ht="13.5" customHeight="1">
      <c r="B10" s="71" t="s">
        <v>153</v>
      </c>
      <c r="C10" s="71" t="s">
        <v>154</v>
      </c>
      <c r="D10" s="49" t="str">
        <f t="shared" si="2"/>
        <v>DIODA-006Y</v>
      </c>
    </row>
    <row r="11" ht="13.5" customHeight="1">
      <c r="B11" s="71" t="s">
        <v>155</v>
      </c>
      <c r="C11" s="71" t="s">
        <v>156</v>
      </c>
      <c r="D11" s="49" t="str">
        <f t="shared" si="2"/>
        <v>DIODA-0079</v>
      </c>
    </row>
    <row r="12" ht="13.5" customHeight="1">
      <c r="B12" s="71" t="s">
        <v>157</v>
      </c>
      <c r="C12" s="71" t="s">
        <v>158</v>
      </c>
      <c r="D12" s="49" t="str">
        <f t="shared" si="2"/>
        <v>DIODA-0087</v>
      </c>
    </row>
    <row r="13" ht="13.5" customHeight="1">
      <c r="B13" s="71" t="s">
        <v>159</v>
      </c>
      <c r="C13" s="71" t="s">
        <v>160</v>
      </c>
      <c r="D13" s="49" t="str">
        <f t="shared" si="2"/>
        <v>DIODA-0095</v>
      </c>
    </row>
    <row r="14" ht="13.5" customHeight="1">
      <c r="B14" s="71" t="s">
        <v>161</v>
      </c>
      <c r="C14" s="71" t="s">
        <v>162</v>
      </c>
      <c r="D14" s="49" t="str">
        <f t="shared" si="2"/>
        <v>DIODA-0109</v>
      </c>
    </row>
    <row r="15" ht="13.5" customHeight="1">
      <c r="B15" s="71" t="s">
        <v>163</v>
      </c>
      <c r="C15" s="71" t="s">
        <v>164</v>
      </c>
      <c r="D15" s="49" t="str">
        <f t="shared" si="2"/>
        <v>DIODA-0117</v>
      </c>
    </row>
    <row r="16" ht="13.5" customHeight="1">
      <c r="B16" s="72" t="s">
        <v>165</v>
      </c>
      <c r="C16" s="73" t="s">
        <v>166</v>
      </c>
      <c r="D16" s="49" t="str">
        <f t="shared" si="2"/>
        <v>DIODA-0125</v>
      </c>
    </row>
    <row r="17" ht="13.5" customHeight="1">
      <c r="B17" s="71" t="s">
        <v>167</v>
      </c>
      <c r="C17" s="71" t="s">
        <v>168</v>
      </c>
      <c r="D17" s="49" t="str">
        <f t="shared" si="2"/>
        <v>DIODA-0133</v>
      </c>
    </row>
    <row r="18" ht="13.5" customHeight="1">
      <c r="B18" s="71" t="s">
        <v>169</v>
      </c>
      <c r="C18" s="71" t="s">
        <v>170</v>
      </c>
      <c r="D18" s="49" t="str">
        <f t="shared" si="2"/>
        <v>DIODA-0141</v>
      </c>
    </row>
    <row r="19" ht="13.5" customHeight="1">
      <c r="B19" s="71" t="s">
        <v>171</v>
      </c>
      <c r="C19" s="71" t="s">
        <v>172</v>
      </c>
      <c r="D19" s="49" t="str">
        <f t="shared" si="2"/>
        <v>DIODA-015X</v>
      </c>
    </row>
    <row r="20" ht="13.5" customHeight="1">
      <c r="B20" s="71" t="s">
        <v>173</v>
      </c>
      <c r="C20" s="71" t="s">
        <v>174</v>
      </c>
      <c r="D20" s="49" t="str">
        <f t="shared" si="2"/>
        <v>DIODA-0168</v>
      </c>
    </row>
    <row r="21" ht="13.5" customHeight="1">
      <c r="B21" s="71" t="s">
        <v>175</v>
      </c>
      <c r="C21" s="71" t="s">
        <v>176</v>
      </c>
      <c r="D21" s="49" t="str">
        <f t="shared" si="2"/>
        <v>DIODA-0176</v>
      </c>
    </row>
    <row r="22" ht="13.5" customHeight="1">
      <c r="B22" s="71" t="s">
        <v>177</v>
      </c>
      <c r="C22" s="71" t="s">
        <v>178</v>
      </c>
      <c r="D22" s="49" t="str">
        <f t="shared" si="2"/>
        <v>DIODA-0184</v>
      </c>
    </row>
    <row r="23" ht="13.5" customHeight="1">
      <c r="B23" s="71" t="s">
        <v>179</v>
      </c>
      <c r="C23" s="71" t="s">
        <v>180</v>
      </c>
      <c r="D23" s="49" t="str">
        <f t="shared" si="2"/>
        <v>DIODA-0192</v>
      </c>
    </row>
    <row r="24" ht="13.5" customHeight="1">
      <c r="B24" s="71" t="s">
        <v>181</v>
      </c>
      <c r="C24" s="71" t="s">
        <v>182</v>
      </c>
      <c r="D24" s="49" t="str">
        <f t="shared" si="2"/>
        <v>DIODA-0206</v>
      </c>
    </row>
    <row r="25" ht="13.5" customHeight="1">
      <c r="B25" s="71" t="s">
        <v>183</v>
      </c>
      <c r="C25" s="71" t="s">
        <v>184</v>
      </c>
      <c r="D25" s="49" t="str">
        <f t="shared" si="2"/>
        <v>DIODA-0222</v>
      </c>
    </row>
    <row r="26" ht="13.5" customHeight="1">
      <c r="B26" s="71" t="s">
        <v>185</v>
      </c>
      <c r="C26" s="71" t="s">
        <v>186</v>
      </c>
      <c r="D26" s="49" t="str">
        <f t="shared" si="2"/>
        <v>DIODA-023Y</v>
      </c>
    </row>
    <row r="27" ht="13.5" customHeight="1">
      <c r="B27" s="71" t="s">
        <v>187</v>
      </c>
      <c r="C27" s="71" t="s">
        <v>188</v>
      </c>
      <c r="D27" s="49" t="str">
        <f t="shared" si="2"/>
        <v>DIODA-0257</v>
      </c>
    </row>
    <row r="28" ht="13.5" customHeight="1">
      <c r="B28" s="71" t="s">
        <v>189</v>
      </c>
      <c r="C28" s="71" t="s">
        <v>190</v>
      </c>
      <c r="D28" s="49" t="str">
        <f t="shared" si="2"/>
        <v>DIODA-0265</v>
      </c>
    </row>
    <row r="29" ht="13.5" customHeight="1">
      <c r="B29" s="71" t="s">
        <v>191</v>
      </c>
      <c r="C29" s="71" t="s">
        <v>192</v>
      </c>
      <c r="D29" s="49" t="str">
        <f t="shared" si="2"/>
        <v>DIODA-0273</v>
      </c>
    </row>
    <row r="30" ht="13.5" customHeight="1">
      <c r="B30" s="71" t="s">
        <v>193</v>
      </c>
      <c r="C30" s="71" t="s">
        <v>194</v>
      </c>
      <c r="D30" s="49" t="str">
        <f t="shared" si="2"/>
        <v>DIODA-0281</v>
      </c>
    </row>
    <row r="31" ht="13.5" customHeight="1">
      <c r="B31" s="71" t="s">
        <v>195</v>
      </c>
      <c r="C31" s="71" t="s">
        <v>196</v>
      </c>
      <c r="D31" s="49" t="str">
        <f t="shared" si="2"/>
        <v>DIODA-029X</v>
      </c>
    </row>
    <row r="32" ht="13.5" customHeight="1">
      <c r="B32" s="71" t="s">
        <v>197</v>
      </c>
      <c r="C32" s="71" t="s">
        <v>198</v>
      </c>
      <c r="D32" s="49" t="str">
        <f t="shared" si="2"/>
        <v>DIODA-0303</v>
      </c>
    </row>
    <row r="33" ht="13.5" customHeight="1">
      <c r="B33" s="71" t="s">
        <v>199</v>
      </c>
      <c r="C33" s="71" t="s">
        <v>200</v>
      </c>
      <c r="D33" s="49" t="str">
        <f t="shared" si="2"/>
        <v>DIODA-0311</v>
      </c>
    </row>
    <row r="34" ht="13.5" customHeight="1">
      <c r="B34" s="71" t="s">
        <v>201</v>
      </c>
      <c r="C34" s="71" t="s">
        <v>202</v>
      </c>
      <c r="D34" s="49" t="str">
        <f t="shared" si="2"/>
        <v>DIODA-032X</v>
      </c>
    </row>
    <row r="35" ht="13.5" customHeight="1">
      <c r="B35" s="71" t="s">
        <v>203</v>
      </c>
      <c r="C35" s="71" t="s">
        <v>204</v>
      </c>
      <c r="D35" s="49" t="str">
        <f t="shared" si="2"/>
        <v>DIODA-0346</v>
      </c>
    </row>
    <row r="36" ht="13.5" customHeight="1">
      <c r="B36" s="71" t="s">
        <v>205</v>
      </c>
      <c r="C36" s="71" t="s">
        <v>206</v>
      </c>
      <c r="D36" s="49" t="str">
        <f t="shared" si="2"/>
        <v>DIODA-0354</v>
      </c>
    </row>
    <row r="37" ht="13.5" customHeight="1">
      <c r="B37" s="71" t="s">
        <v>207</v>
      </c>
      <c r="C37" s="71" t="s">
        <v>208</v>
      </c>
      <c r="D37" s="49" t="str">
        <f t="shared" si="2"/>
        <v>DIODA-0362</v>
      </c>
    </row>
    <row r="38" ht="13.5" customHeight="1">
      <c r="B38" s="71" t="s">
        <v>209</v>
      </c>
      <c r="C38" s="71" t="s">
        <v>210</v>
      </c>
      <c r="D38" s="49" t="str">
        <f t="shared" si="2"/>
        <v>DIODA-037Y</v>
      </c>
    </row>
    <row r="39" ht="13.5" customHeight="1">
      <c r="B39" s="71" t="s">
        <v>211</v>
      </c>
      <c r="C39" s="71" t="s">
        <v>212</v>
      </c>
      <c r="D39" s="49" t="str">
        <f t="shared" si="2"/>
        <v>DIODA-0389</v>
      </c>
    </row>
    <row r="40" ht="13.5" customHeight="1">
      <c r="B40" s="71" t="s">
        <v>213</v>
      </c>
      <c r="C40" s="71" t="s">
        <v>214</v>
      </c>
      <c r="D40" s="49" t="str">
        <f t="shared" si="2"/>
        <v>DIODA-040Y</v>
      </c>
    </row>
    <row r="41" ht="13.5" customHeight="1">
      <c r="B41" s="71" t="s">
        <v>215</v>
      </c>
      <c r="C41" s="71" t="s">
        <v>216</v>
      </c>
      <c r="D41" s="49" t="str">
        <f t="shared" si="2"/>
        <v>DIODA-0419</v>
      </c>
    </row>
    <row r="42" ht="13.5" customHeight="1">
      <c r="B42" s="71" t="s">
        <v>217</v>
      </c>
      <c r="C42" s="71" t="s">
        <v>218</v>
      </c>
      <c r="D42" s="49" t="str">
        <f t="shared" si="2"/>
        <v>DIODA-0427</v>
      </c>
    </row>
    <row r="43" ht="13.5" customHeight="1">
      <c r="B43" s="71" t="s">
        <v>219</v>
      </c>
      <c r="C43" s="71" t="s">
        <v>220</v>
      </c>
      <c r="D43" s="49" t="str">
        <f t="shared" si="2"/>
        <v>DIODA-0435</v>
      </c>
    </row>
    <row r="44" ht="13.5" customHeight="1">
      <c r="B44" s="71" t="s">
        <v>221</v>
      </c>
      <c r="C44" s="71" t="s">
        <v>222</v>
      </c>
      <c r="D44" s="49" t="str">
        <f t="shared" si="2"/>
        <v>DIODA-0443</v>
      </c>
    </row>
    <row r="45" ht="13.5" customHeight="1">
      <c r="B45" s="71" t="s">
        <v>223</v>
      </c>
      <c r="C45" s="71" t="s">
        <v>224</v>
      </c>
      <c r="D45" s="49" t="str">
        <f t="shared" si="2"/>
        <v>DIODA-0451</v>
      </c>
    </row>
    <row r="46" ht="13.5" customHeight="1">
      <c r="B46" s="73" t="s">
        <v>225</v>
      </c>
      <c r="C46" s="71" t="s">
        <v>226</v>
      </c>
      <c r="D46" s="49" t="str">
        <f t="shared" si="2"/>
        <v>DIODA-046X</v>
      </c>
    </row>
    <row r="47" ht="13.5" customHeight="1">
      <c r="B47" s="71" t="s">
        <v>227</v>
      </c>
      <c r="C47" s="71" t="s">
        <v>228</v>
      </c>
      <c r="D47" s="49" t="str">
        <f t="shared" si="2"/>
        <v>DIODA-0478</v>
      </c>
    </row>
    <row r="48" ht="13.5" customHeight="1">
      <c r="B48" s="71" t="s">
        <v>229</v>
      </c>
      <c r="C48" s="71" t="s">
        <v>230</v>
      </c>
      <c r="D48" s="49" t="str">
        <f t="shared" si="2"/>
        <v>DIODA-0486</v>
      </c>
    </row>
    <row r="49" ht="13.5" customHeight="1">
      <c r="B49" s="71" t="s">
        <v>231</v>
      </c>
      <c r="C49" s="71" t="s">
        <v>232</v>
      </c>
      <c r="D49" s="49" t="str">
        <f t="shared" si="2"/>
        <v>DIODA-0494</v>
      </c>
    </row>
    <row r="50" ht="13.5" customHeight="1">
      <c r="B50" s="71" t="s">
        <v>233</v>
      </c>
      <c r="C50" s="71" t="s">
        <v>234</v>
      </c>
      <c r="D50" s="49" t="str">
        <f t="shared" si="2"/>
        <v>DIODA-0508</v>
      </c>
    </row>
    <row r="51" ht="13.5" customHeight="1">
      <c r="B51" s="71" t="s">
        <v>235</v>
      </c>
      <c r="C51" s="71" t="s">
        <v>236</v>
      </c>
      <c r="D51" s="49" t="str">
        <f t="shared" si="2"/>
        <v>DIODA-0516</v>
      </c>
    </row>
    <row r="52" ht="13.5" customHeight="1">
      <c r="B52" s="71" t="s">
        <v>237</v>
      </c>
      <c r="C52" s="71" t="s">
        <v>238</v>
      </c>
      <c r="D52" s="49" t="str">
        <f t="shared" si="2"/>
        <v>DIODA-0524</v>
      </c>
    </row>
    <row r="53" ht="13.5" customHeight="1">
      <c r="B53" s="71" t="s">
        <v>239</v>
      </c>
      <c r="C53" s="71" t="s">
        <v>240</v>
      </c>
      <c r="D53" s="49" t="str">
        <f t="shared" si="2"/>
        <v>DIODA-0532</v>
      </c>
    </row>
    <row r="54" ht="13.5" customHeight="1">
      <c r="B54" s="71" t="s">
        <v>241</v>
      </c>
      <c r="C54" s="71" t="s">
        <v>242</v>
      </c>
      <c r="D54" s="49" t="str">
        <f t="shared" si="2"/>
        <v>DIODA-054Y</v>
      </c>
    </row>
    <row r="55" ht="13.5" customHeight="1">
      <c r="B55" s="71" t="s">
        <v>243</v>
      </c>
      <c r="C55" s="71" t="s">
        <v>244</v>
      </c>
      <c r="D55" s="49" t="str">
        <f t="shared" si="2"/>
        <v>DIODA-0559</v>
      </c>
    </row>
    <row r="56" ht="13.5" customHeight="1">
      <c r="B56" s="71" t="s">
        <v>245</v>
      </c>
      <c r="C56" s="71" t="s">
        <v>246</v>
      </c>
      <c r="D56" s="49" t="str">
        <f t="shared" si="2"/>
        <v>DIODA-0567</v>
      </c>
    </row>
    <row r="57" ht="13.5" customHeight="1">
      <c r="B57" s="71" t="s">
        <v>247</v>
      </c>
      <c r="C57" s="71" t="s">
        <v>248</v>
      </c>
      <c r="D57" s="49" t="str">
        <f t="shared" si="2"/>
        <v>DIODA-0575</v>
      </c>
    </row>
    <row r="58" ht="13.5" customHeight="1">
      <c r="B58" s="71" t="s">
        <v>249</v>
      </c>
      <c r="C58" s="71" t="s">
        <v>250</v>
      </c>
      <c r="D58" s="49" t="str">
        <f t="shared" si="2"/>
        <v>DIODA-0583</v>
      </c>
    </row>
    <row r="59" ht="13.5" customHeight="1">
      <c r="B59" s="71" t="s">
        <v>251</v>
      </c>
      <c r="C59" s="71" t="s">
        <v>252</v>
      </c>
      <c r="D59" s="49" t="str">
        <f t="shared" si="2"/>
        <v>DIODA-0591</v>
      </c>
    </row>
    <row r="60" ht="13.5" customHeight="1">
      <c r="B60" s="71" t="s">
        <v>253</v>
      </c>
      <c r="C60" s="71" t="s">
        <v>254</v>
      </c>
      <c r="D60" s="49" t="str">
        <f t="shared" si="2"/>
        <v>DIODA-0605</v>
      </c>
    </row>
    <row r="61" ht="13.5" customHeight="1">
      <c r="B61" s="71" t="s">
        <v>255</v>
      </c>
      <c r="C61" s="71" t="s">
        <v>256</v>
      </c>
      <c r="D61" s="49" t="str">
        <f t="shared" si="2"/>
        <v>DIODA-0613</v>
      </c>
    </row>
    <row r="62" ht="13.5" customHeight="1">
      <c r="B62" s="71" t="s">
        <v>257</v>
      </c>
      <c r="C62" s="71" t="s">
        <v>258</v>
      </c>
      <c r="D62" s="49" t="str">
        <f t="shared" si="2"/>
        <v>DIODA-0621</v>
      </c>
    </row>
    <row r="63" ht="13.5" customHeight="1">
      <c r="B63" s="71" t="s">
        <v>259</v>
      </c>
      <c r="C63" s="71" t="s">
        <v>260</v>
      </c>
      <c r="D63" s="49" t="str">
        <f t="shared" si="2"/>
        <v>DIODA-063X</v>
      </c>
    </row>
    <row r="64" ht="13.5" customHeight="1">
      <c r="B64" s="71" t="s">
        <v>261</v>
      </c>
      <c r="C64" s="71" t="s">
        <v>262</v>
      </c>
      <c r="D64" s="49" t="str">
        <f t="shared" si="2"/>
        <v>DIODA-0648</v>
      </c>
    </row>
    <row r="65" ht="13.5" customHeight="1">
      <c r="B65" s="71" t="s">
        <v>263</v>
      </c>
      <c r="C65" s="71" t="s">
        <v>264</v>
      </c>
      <c r="D65" s="49" t="str">
        <f t="shared" si="2"/>
        <v>DIODA-0656</v>
      </c>
    </row>
    <row r="66" ht="13.5" customHeight="1">
      <c r="B66" s="71" t="s">
        <v>265</v>
      </c>
      <c r="C66" s="71" t="s">
        <v>266</v>
      </c>
      <c r="D66" s="49" t="str">
        <f t="shared" si="2"/>
        <v>DIODA-0664</v>
      </c>
    </row>
    <row r="67" ht="13.5" customHeight="1">
      <c r="B67" s="71" t="s">
        <v>267</v>
      </c>
      <c r="C67" s="71" t="s">
        <v>268</v>
      </c>
      <c r="D67" s="49" t="str">
        <f t="shared" si="2"/>
        <v>DIODA-0672</v>
      </c>
    </row>
    <row r="68" ht="13.5" customHeight="1">
      <c r="B68" s="71" t="s">
        <v>269</v>
      </c>
      <c r="C68" s="71" t="s">
        <v>270</v>
      </c>
      <c r="D68" s="49" t="str">
        <f t="shared" si="2"/>
        <v>DIODA-068Y</v>
      </c>
    </row>
    <row r="69" ht="13.5" customHeight="1">
      <c r="B69" s="71" t="s">
        <v>271</v>
      </c>
      <c r="C69" s="71" t="s">
        <v>272</v>
      </c>
      <c r="D69" s="49" t="str">
        <f t="shared" si="2"/>
        <v>DIODA-0699</v>
      </c>
    </row>
    <row r="70" ht="13.5" customHeight="1">
      <c r="B70" s="71" t="s">
        <v>273</v>
      </c>
      <c r="C70" s="71" t="s">
        <v>274</v>
      </c>
      <c r="D70" s="49" t="str">
        <f t="shared" si="2"/>
        <v>DIODA-0702</v>
      </c>
    </row>
    <row r="71" ht="13.5" customHeight="1">
      <c r="B71" s="71" t="s">
        <v>275</v>
      </c>
      <c r="C71" s="71" t="s">
        <v>276</v>
      </c>
      <c r="D71" s="49" t="str">
        <f t="shared" si="2"/>
        <v>DIODA-0729</v>
      </c>
    </row>
    <row r="72" ht="13.5" customHeight="1">
      <c r="B72" s="71" t="s">
        <v>277</v>
      </c>
      <c r="C72" s="71" t="s">
        <v>278</v>
      </c>
      <c r="D72" s="49" t="str">
        <f t="shared" si="2"/>
        <v>DIODA-0737</v>
      </c>
    </row>
    <row r="73" ht="13.5" customHeight="1">
      <c r="B73" s="71" t="s">
        <v>279</v>
      </c>
      <c r="C73" s="71" t="s">
        <v>280</v>
      </c>
      <c r="D73" s="49" t="str">
        <f t="shared" si="2"/>
        <v>DIODA-0745</v>
      </c>
    </row>
    <row r="74" ht="13.5" customHeight="1">
      <c r="B74" s="71" t="s">
        <v>281</v>
      </c>
      <c r="C74" s="71" t="s">
        <v>282</v>
      </c>
      <c r="D74" s="49" t="str">
        <f t="shared" si="2"/>
        <v>DIODA-0753</v>
      </c>
    </row>
    <row r="75" ht="13.5" customHeight="1">
      <c r="B75" s="71" t="s">
        <v>283</v>
      </c>
      <c r="C75" s="71" t="s">
        <v>284</v>
      </c>
      <c r="D75" s="49" t="str">
        <f t="shared" si="2"/>
        <v>DIODA-0761</v>
      </c>
    </row>
    <row r="76" ht="13.5" customHeight="1">
      <c r="B76" s="71" t="s">
        <v>285</v>
      </c>
      <c r="C76" s="71" t="s">
        <v>286</v>
      </c>
      <c r="D76" s="49" t="str">
        <f t="shared" si="2"/>
        <v>DIODA-077X</v>
      </c>
    </row>
    <row r="77" ht="13.5" customHeight="1">
      <c r="B77" s="71" t="s">
        <v>287</v>
      </c>
      <c r="C77" s="71" t="s">
        <v>288</v>
      </c>
      <c r="D77" s="49" t="str">
        <f t="shared" si="2"/>
        <v>DIODA-0788</v>
      </c>
    </row>
    <row r="78" ht="13.5" customHeight="1">
      <c r="B78" s="71" t="s">
        <v>289</v>
      </c>
      <c r="C78" s="71" t="s">
        <v>290</v>
      </c>
      <c r="D78" s="49" t="str">
        <f t="shared" si="2"/>
        <v>DIODA-0796</v>
      </c>
    </row>
    <row r="79" ht="13.5" customHeight="1">
      <c r="B79" s="71" t="s">
        <v>291</v>
      </c>
      <c r="C79" s="71" t="s">
        <v>292</v>
      </c>
      <c r="D79" s="49" t="str">
        <f t="shared" si="2"/>
        <v>DIODA-080X</v>
      </c>
    </row>
    <row r="80" ht="13.5" customHeight="1">
      <c r="B80" s="71" t="s">
        <v>293</v>
      </c>
      <c r="C80" s="71" t="s">
        <v>294</v>
      </c>
      <c r="D80" s="49" t="str">
        <f t="shared" si="2"/>
        <v>DIODA-0818</v>
      </c>
    </row>
    <row r="81" ht="13.5" customHeight="1">
      <c r="B81" s="71" t="s">
        <v>295</v>
      </c>
      <c r="C81" s="71" t="s">
        <v>296</v>
      </c>
      <c r="D81" s="49" t="str">
        <f t="shared" si="2"/>
        <v>DIODA-0826</v>
      </c>
    </row>
    <row r="82" ht="13.5" customHeight="1">
      <c r="B82" s="71" t="s">
        <v>297</v>
      </c>
      <c r="C82" s="71" t="s">
        <v>298</v>
      </c>
      <c r="D82" s="49" t="str">
        <f t="shared" si="2"/>
        <v>DIODA-0842</v>
      </c>
    </row>
    <row r="83" ht="13.5" customHeight="1">
      <c r="B83" s="71" t="s">
        <v>299</v>
      </c>
      <c r="C83" s="71" t="s">
        <v>300</v>
      </c>
      <c r="D83" s="49" t="str">
        <f t="shared" si="2"/>
        <v>DIODA-085Y</v>
      </c>
    </row>
    <row r="84" ht="13.5" customHeight="1">
      <c r="B84" s="71" t="s">
        <v>301</v>
      </c>
      <c r="C84" s="73" t="s">
        <v>302</v>
      </c>
      <c r="D84" s="49" t="str">
        <f t="shared" si="2"/>
        <v>DIODA-701X</v>
      </c>
    </row>
    <row r="85" ht="13.5" customHeight="1">
      <c r="B85" s="71" t="s">
        <v>303</v>
      </c>
      <c r="C85" s="71" t="s">
        <v>304</v>
      </c>
      <c r="D85" s="49" t="str">
        <f t="shared" si="2"/>
        <v>DIODA-702X</v>
      </c>
    </row>
    <row r="86" ht="13.5" customHeight="1">
      <c r="B86" s="71" t="s">
        <v>305</v>
      </c>
      <c r="C86" s="71" t="s">
        <v>306</v>
      </c>
      <c r="D86" s="49" t="str">
        <f t="shared" si="2"/>
        <v>DIODA-703Y</v>
      </c>
    </row>
    <row r="87" ht="13.5" customHeight="1">
      <c r="B87" s="74" t="s">
        <v>307</v>
      </c>
      <c r="C87" s="71" t="s">
        <v>308</v>
      </c>
      <c r="D87" s="49" t="str">
        <f t="shared" si="2"/>
        <v>DIODA-704X</v>
      </c>
    </row>
    <row r="88" ht="13.5" customHeight="1">
      <c r="B88" s="71" t="s">
        <v>309</v>
      </c>
      <c r="C88" s="71" t="s">
        <v>310</v>
      </c>
      <c r="D88" s="49" t="str">
        <f t="shared" si="2"/>
        <v>DIODA-7057</v>
      </c>
    </row>
    <row r="89" ht="13.5" customHeight="1">
      <c r="B89" s="71" t="s">
        <v>311</v>
      </c>
      <c r="C89" s="71" t="s">
        <v>312</v>
      </c>
      <c r="D89" s="49" t="str">
        <f t="shared" si="2"/>
        <v>DIODA-7065</v>
      </c>
    </row>
    <row r="90" ht="13.5" customHeight="1">
      <c r="B90" s="71" t="s">
        <v>313</v>
      </c>
      <c r="C90" s="71" t="s">
        <v>314</v>
      </c>
      <c r="D90" s="49" t="str">
        <f t="shared" si="2"/>
        <v>DIODA-7081</v>
      </c>
    </row>
    <row r="91" ht="13.5" customHeight="1">
      <c r="B91" s="71" t="s">
        <v>315</v>
      </c>
      <c r="C91" s="71" t="s">
        <v>316</v>
      </c>
      <c r="D91" s="49" t="str">
        <f t="shared" si="2"/>
        <v>DIODA-709X</v>
      </c>
    </row>
    <row r="92" ht="13.5" customHeight="1">
      <c r="B92" s="71" t="s">
        <v>317</v>
      </c>
      <c r="C92" s="71" t="s">
        <v>318</v>
      </c>
      <c r="D92" s="49" t="str">
        <f t="shared" si="2"/>
        <v>DIODA-7103</v>
      </c>
    </row>
    <row r="93" ht="13.5" customHeight="1">
      <c r="B93" s="71" t="s">
        <v>319</v>
      </c>
      <c r="C93" s="71" t="s">
        <v>320</v>
      </c>
      <c r="D93" s="49" t="str">
        <f t="shared" si="2"/>
        <v>DIODA-712X</v>
      </c>
    </row>
    <row r="94" ht="13.5" customHeight="1">
      <c r="B94" s="71" t="s">
        <v>321</v>
      </c>
      <c r="C94" s="71" t="s">
        <v>322</v>
      </c>
      <c r="D94" s="49" t="str">
        <f t="shared" si="2"/>
        <v>DIODA-7138</v>
      </c>
    </row>
    <row r="95" ht="13.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autoFilter ref="$B$3:$D$94"/>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s>
  <sheetData>
    <row r="1">
      <c r="A1" s="75"/>
      <c r="B1" s="75"/>
      <c r="C1" s="75"/>
      <c r="D1" s="75"/>
      <c r="E1" s="75"/>
      <c r="F1" s="75"/>
      <c r="G1" s="75"/>
      <c r="H1" s="75"/>
    </row>
    <row r="2">
      <c r="A2" s="75"/>
      <c r="B2" s="75"/>
      <c r="C2" s="75"/>
      <c r="D2" s="75"/>
      <c r="E2" s="75"/>
      <c r="F2" s="75"/>
      <c r="G2" s="75"/>
      <c r="H2" s="75"/>
    </row>
    <row r="3">
      <c r="A3" s="75"/>
      <c r="B3" s="76" t="s">
        <v>323</v>
      </c>
      <c r="C3" s="75"/>
      <c r="D3" s="75"/>
      <c r="E3" s="75"/>
      <c r="F3" s="75"/>
      <c r="G3" s="75"/>
      <c r="H3" s="75"/>
    </row>
    <row r="4">
      <c r="A4" s="77">
        <v>1.0</v>
      </c>
      <c r="B4" s="77" t="s">
        <v>324</v>
      </c>
      <c r="C4" s="75"/>
      <c r="D4" s="75"/>
      <c r="E4" s="75"/>
      <c r="F4" s="75"/>
      <c r="G4" s="75"/>
      <c r="H4" s="75"/>
    </row>
    <row r="5">
      <c r="A5" s="75"/>
      <c r="B5" s="77" t="s">
        <v>325</v>
      </c>
      <c r="C5" s="75"/>
      <c r="D5" s="75"/>
      <c r="E5" s="75"/>
      <c r="F5" s="75"/>
      <c r="G5" s="75"/>
      <c r="H5" s="75"/>
    </row>
    <row r="6">
      <c r="A6" s="75"/>
      <c r="B6" s="77" t="s">
        <v>326</v>
      </c>
      <c r="C6" s="75"/>
      <c r="D6" s="75"/>
      <c r="E6" s="75"/>
      <c r="F6" s="75"/>
      <c r="G6" s="75"/>
      <c r="H6" s="75"/>
    </row>
    <row r="7">
      <c r="A7" s="77">
        <v>2.0</v>
      </c>
      <c r="B7" s="77" t="s">
        <v>327</v>
      </c>
      <c r="C7" s="75"/>
      <c r="D7" s="75"/>
      <c r="E7" s="75"/>
      <c r="F7" s="75"/>
      <c r="G7" s="75"/>
      <c r="H7" s="75"/>
    </row>
    <row r="8">
      <c r="A8" s="75"/>
      <c r="B8" s="77" t="s">
        <v>328</v>
      </c>
      <c r="C8" s="75"/>
      <c r="D8" s="75"/>
      <c r="E8" s="75"/>
      <c r="F8" s="75"/>
      <c r="G8" s="75"/>
      <c r="H8" s="75"/>
    </row>
    <row r="9">
      <c r="A9" s="75"/>
      <c r="B9" s="77" t="s">
        <v>329</v>
      </c>
      <c r="C9" s="75"/>
      <c r="D9" s="75"/>
      <c r="E9" s="75"/>
      <c r="F9" s="75"/>
      <c r="G9" s="75"/>
      <c r="H9" s="75"/>
    </row>
    <row r="10">
      <c r="A10" s="75"/>
      <c r="B10" s="77" t="s">
        <v>330</v>
      </c>
      <c r="C10" s="75"/>
      <c r="D10" s="75"/>
      <c r="E10" s="75"/>
      <c r="F10" s="75"/>
      <c r="G10" s="75"/>
      <c r="H10" s="75"/>
    </row>
    <row r="11">
      <c r="A11" s="75"/>
      <c r="B11" s="77" t="s">
        <v>331</v>
      </c>
      <c r="C11" s="75"/>
      <c r="D11" s="75"/>
      <c r="E11" s="75"/>
      <c r="F11" s="75"/>
      <c r="G11" s="75"/>
      <c r="H11" s="75"/>
    </row>
    <row r="12">
      <c r="A12" s="75"/>
      <c r="B12" s="77" t="s">
        <v>332</v>
      </c>
      <c r="C12" s="75"/>
      <c r="D12" s="75"/>
      <c r="E12" s="75"/>
      <c r="F12" s="75"/>
      <c r="G12" s="75"/>
      <c r="H12" s="75"/>
    </row>
    <row r="13">
      <c r="A13" s="75"/>
      <c r="B13" s="77" t="s">
        <v>333</v>
      </c>
      <c r="C13" s="75"/>
      <c r="D13" s="75"/>
      <c r="E13" s="75"/>
      <c r="F13" s="75"/>
      <c r="G13" s="75"/>
      <c r="H13" s="75"/>
    </row>
    <row r="14">
      <c r="A14" s="77">
        <v>3.0</v>
      </c>
      <c r="B14" s="77" t="s">
        <v>334</v>
      </c>
      <c r="C14" s="75"/>
      <c r="D14" s="75"/>
      <c r="E14" s="75"/>
      <c r="F14" s="75"/>
      <c r="G14" s="75"/>
      <c r="H14" s="75"/>
    </row>
    <row r="15">
      <c r="A15" s="75"/>
      <c r="B15" s="78" t="s">
        <v>335</v>
      </c>
      <c r="C15" s="75"/>
      <c r="D15" s="75"/>
      <c r="E15" s="75"/>
      <c r="F15" s="75"/>
      <c r="G15" s="75"/>
      <c r="H15" s="75"/>
    </row>
    <row r="16">
      <c r="A16" s="75"/>
      <c r="B16" s="75"/>
      <c r="C16" s="75"/>
      <c r="D16" s="75"/>
      <c r="E16" s="75"/>
      <c r="F16" s="75"/>
      <c r="G16" s="75"/>
      <c r="H16" s="75"/>
    </row>
    <row r="17">
      <c r="A17" s="75"/>
      <c r="B17" s="75"/>
      <c r="C17" s="75"/>
      <c r="D17" s="75"/>
      <c r="E17" s="75"/>
      <c r="F17" s="75"/>
      <c r="G17" s="75"/>
      <c r="H17" s="75"/>
    </row>
    <row r="18">
      <c r="A18" s="75"/>
      <c r="B18" s="75"/>
      <c r="C18" s="75"/>
      <c r="D18" s="75"/>
      <c r="E18" s="75"/>
      <c r="F18" s="75"/>
      <c r="G18" s="75"/>
      <c r="H18" s="75"/>
    </row>
    <row r="19">
      <c r="A19" s="75"/>
      <c r="B19" s="75"/>
      <c r="C19" s="75"/>
      <c r="D19" s="75"/>
      <c r="E19" s="75"/>
      <c r="F19" s="75"/>
      <c r="G19" s="75"/>
      <c r="H19" s="75"/>
    </row>
    <row r="20">
      <c r="A20" s="75"/>
      <c r="B20" s="75"/>
      <c r="C20" s="75"/>
      <c r="D20" s="75"/>
      <c r="E20" s="75"/>
      <c r="F20" s="75"/>
      <c r="G20" s="75"/>
      <c r="H20" s="75"/>
    </row>
    <row r="21">
      <c r="A21" s="75"/>
      <c r="B21" s="75"/>
      <c r="C21" s="75"/>
      <c r="D21" s="75"/>
      <c r="E21" s="75"/>
      <c r="F21" s="75"/>
      <c r="G21" s="75"/>
      <c r="H21" s="7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0"/>
    <col customWidth="1" min="4" max="4" width="17.43"/>
    <col customWidth="1" min="6" max="6" width="14.29"/>
    <col customWidth="1" min="7" max="7" width="17.86"/>
    <col customWidth="1" min="8" max="8" width="9.57"/>
    <col customWidth="1" min="10" max="10" width="19.29"/>
    <col customWidth="1" min="11" max="25" width="9.57"/>
  </cols>
  <sheetData>
    <row r="1">
      <c r="A1" s="79" t="s">
        <v>336</v>
      </c>
      <c r="D1" s="79" t="s">
        <v>337</v>
      </c>
      <c r="G1" s="79" t="s">
        <v>338</v>
      </c>
      <c r="J1" s="79" t="s">
        <v>339</v>
      </c>
    </row>
    <row r="3">
      <c r="A3" s="80" t="s">
        <v>34</v>
      </c>
      <c r="B3" s="30">
        <v>100000.0</v>
      </c>
      <c r="D3" s="28" t="s">
        <v>34</v>
      </c>
      <c r="E3" s="31">
        <v>600000.0</v>
      </c>
      <c r="G3" s="28" t="s">
        <v>34</v>
      </c>
      <c r="H3" s="30">
        <v>100000.0</v>
      </c>
      <c r="J3" s="28" t="s">
        <v>34</v>
      </c>
      <c r="K3" s="30">
        <v>100000.0</v>
      </c>
      <c r="L3" s="81"/>
      <c r="M3" s="81"/>
      <c r="N3" s="81"/>
      <c r="O3" s="81"/>
      <c r="P3" s="81"/>
      <c r="Q3" s="81"/>
      <c r="R3" s="81"/>
      <c r="S3" s="81"/>
      <c r="T3" s="81"/>
      <c r="U3" s="81"/>
      <c r="V3" s="81"/>
      <c r="W3" s="81"/>
      <c r="X3" s="81"/>
      <c r="Y3" s="81"/>
    </row>
    <row r="4">
      <c r="A4" s="49" t="s">
        <v>40</v>
      </c>
      <c r="B4" s="30">
        <v>100000.0</v>
      </c>
      <c r="D4" s="33" t="s">
        <v>38</v>
      </c>
      <c r="E4" s="30">
        <v>100000.0</v>
      </c>
      <c r="G4" s="33" t="s">
        <v>43</v>
      </c>
      <c r="H4" s="30">
        <v>500000.0</v>
      </c>
      <c r="J4" s="33" t="s">
        <v>40</v>
      </c>
      <c r="K4" s="30">
        <v>400000.0</v>
      </c>
      <c r="L4" s="81"/>
      <c r="M4" s="81"/>
      <c r="N4" s="81"/>
      <c r="O4" s="81"/>
      <c r="P4" s="81"/>
      <c r="Q4" s="81"/>
      <c r="R4" s="81"/>
      <c r="S4" s="81"/>
      <c r="T4" s="81"/>
      <c r="U4" s="81"/>
      <c r="V4" s="81"/>
      <c r="W4" s="81"/>
      <c r="X4" s="81"/>
      <c r="Y4" s="81"/>
    </row>
    <row r="5">
      <c r="A5" s="49" t="s">
        <v>46</v>
      </c>
      <c r="B5" s="30">
        <v>200000.0</v>
      </c>
      <c r="D5" s="33" t="s">
        <v>40</v>
      </c>
      <c r="E5" s="30">
        <v>200000.0</v>
      </c>
      <c r="G5" s="33" t="s">
        <v>52</v>
      </c>
      <c r="H5" s="30">
        <v>100000.0</v>
      </c>
      <c r="J5" s="33" t="s">
        <v>56</v>
      </c>
      <c r="K5" s="30">
        <v>200000.0</v>
      </c>
      <c r="L5" s="81"/>
      <c r="M5" s="81"/>
      <c r="N5" s="81"/>
      <c r="O5" s="81"/>
      <c r="P5" s="81"/>
      <c r="Q5" s="81"/>
      <c r="R5" s="81"/>
      <c r="S5" s="81"/>
      <c r="T5" s="81"/>
      <c r="U5" s="81"/>
      <c r="V5" s="81"/>
      <c r="W5" s="81"/>
      <c r="X5" s="81"/>
      <c r="Y5" s="81"/>
    </row>
    <row r="6">
      <c r="A6" s="49" t="s">
        <v>52</v>
      </c>
      <c r="B6" s="30">
        <v>100000.0</v>
      </c>
      <c r="D6" s="33" t="s">
        <v>52</v>
      </c>
      <c r="E6" s="30">
        <v>100000.0</v>
      </c>
      <c r="G6" s="33" t="s">
        <v>56</v>
      </c>
      <c r="H6" s="30">
        <v>200000.0</v>
      </c>
      <c r="J6" s="33" t="s">
        <v>58</v>
      </c>
      <c r="K6" s="30">
        <v>250000.0</v>
      </c>
      <c r="L6" s="81"/>
      <c r="M6" s="81"/>
      <c r="N6" s="81"/>
      <c r="O6" s="81"/>
      <c r="P6" s="81"/>
      <c r="Q6" s="81"/>
      <c r="R6" s="81"/>
      <c r="S6" s="81"/>
      <c r="T6" s="81"/>
      <c r="U6" s="81"/>
      <c r="V6" s="81"/>
      <c r="W6" s="81"/>
      <c r="X6" s="81"/>
      <c r="Y6" s="81"/>
    </row>
    <row r="7">
      <c r="A7" s="49" t="s">
        <v>56</v>
      </c>
      <c r="B7" s="30">
        <v>200000.0</v>
      </c>
      <c r="D7" s="33" t="s">
        <v>56</v>
      </c>
      <c r="E7" s="30">
        <v>200000.0</v>
      </c>
      <c r="G7" s="33" t="s">
        <v>58</v>
      </c>
      <c r="H7" s="30">
        <v>200000.0</v>
      </c>
      <c r="J7" s="33" t="s">
        <v>64</v>
      </c>
      <c r="K7" s="30">
        <v>500000.0</v>
      </c>
      <c r="L7" s="81"/>
      <c r="M7" s="81"/>
      <c r="N7" s="81"/>
      <c r="O7" s="81"/>
      <c r="P7" s="81"/>
      <c r="Q7" s="81"/>
      <c r="R7" s="81"/>
      <c r="S7" s="81"/>
      <c r="T7" s="81"/>
      <c r="U7" s="81"/>
      <c r="V7" s="81"/>
      <c r="W7" s="81"/>
      <c r="X7" s="81"/>
      <c r="Y7" s="81"/>
    </row>
    <row r="8">
      <c r="A8" s="49" t="s">
        <v>58</v>
      </c>
      <c r="B8" s="30">
        <v>200000.0</v>
      </c>
      <c r="D8" s="33" t="s">
        <v>58</v>
      </c>
      <c r="E8" s="30">
        <v>200000.0</v>
      </c>
      <c r="G8" s="33" t="s">
        <v>68</v>
      </c>
      <c r="H8" s="30">
        <v>100000.0</v>
      </c>
      <c r="J8" s="33" t="s">
        <v>67</v>
      </c>
      <c r="K8" s="30">
        <v>300000.0</v>
      </c>
      <c r="L8" s="81"/>
      <c r="M8" s="81"/>
      <c r="N8" s="81"/>
      <c r="O8" s="81"/>
      <c r="P8" s="81"/>
      <c r="Q8" s="81"/>
      <c r="R8" s="81"/>
      <c r="S8" s="81"/>
      <c r="T8" s="81"/>
      <c r="U8" s="81"/>
      <c r="V8" s="81"/>
      <c r="W8" s="81"/>
      <c r="X8" s="81"/>
      <c r="Y8" s="81"/>
    </row>
    <row r="9">
      <c r="A9" s="49" t="s">
        <v>64</v>
      </c>
      <c r="B9" s="30">
        <v>200000.0</v>
      </c>
      <c r="D9" s="33" t="s">
        <v>63</v>
      </c>
      <c r="E9" s="30">
        <v>500000.0</v>
      </c>
      <c r="G9" s="33" t="s">
        <v>77</v>
      </c>
      <c r="H9" s="30">
        <v>200000.0</v>
      </c>
      <c r="J9" s="33" t="s">
        <v>77</v>
      </c>
      <c r="K9" s="30">
        <v>200000.0</v>
      </c>
      <c r="L9" s="81"/>
      <c r="M9" s="81"/>
      <c r="N9" s="81"/>
      <c r="O9" s="81"/>
      <c r="P9" s="81"/>
      <c r="Q9" s="81"/>
      <c r="R9" s="81"/>
      <c r="S9" s="81"/>
      <c r="T9" s="81"/>
      <c r="U9" s="81"/>
      <c r="V9" s="81"/>
      <c r="W9" s="81"/>
      <c r="X9" s="81"/>
      <c r="Y9" s="81"/>
    </row>
    <row r="10">
      <c r="A10" s="49" t="s">
        <v>67</v>
      </c>
      <c r="B10" s="30">
        <v>300000.0</v>
      </c>
      <c r="D10" s="33" t="s">
        <v>67</v>
      </c>
      <c r="E10" s="30">
        <v>300000.0</v>
      </c>
      <c r="G10" s="33" t="s">
        <v>84</v>
      </c>
      <c r="H10" s="30">
        <v>200000.0</v>
      </c>
      <c r="J10" s="33" t="s">
        <v>84</v>
      </c>
      <c r="K10" s="30">
        <v>200000.0</v>
      </c>
      <c r="L10" s="81"/>
      <c r="M10" s="81"/>
      <c r="N10" s="81"/>
      <c r="O10" s="81"/>
      <c r="P10" s="81"/>
      <c r="Q10" s="81"/>
      <c r="R10" s="81"/>
      <c r="S10" s="81"/>
      <c r="T10" s="81"/>
      <c r="U10" s="81"/>
      <c r="V10" s="81"/>
      <c r="W10" s="81"/>
      <c r="X10" s="81"/>
      <c r="Y10" s="81"/>
    </row>
    <row r="11">
      <c r="A11" s="49" t="s">
        <v>84</v>
      </c>
      <c r="B11" s="30">
        <v>200000.0</v>
      </c>
      <c r="D11" s="33" t="s">
        <v>84</v>
      </c>
      <c r="E11" s="30">
        <v>200000.0</v>
      </c>
      <c r="G11" s="33" t="s">
        <v>86</v>
      </c>
      <c r="H11" s="30">
        <v>300000.0</v>
      </c>
      <c r="J11" s="33" t="s">
        <v>86</v>
      </c>
      <c r="K11" s="30">
        <v>300000.0</v>
      </c>
      <c r="L11" s="81"/>
      <c r="M11" s="81"/>
      <c r="N11" s="81"/>
      <c r="O11" s="81"/>
      <c r="P11" s="81"/>
      <c r="Q11" s="81"/>
      <c r="R11" s="81"/>
      <c r="S11" s="81"/>
      <c r="T11" s="81"/>
      <c r="U11" s="81"/>
      <c r="V11" s="81"/>
      <c r="W11" s="81"/>
      <c r="X11" s="81"/>
      <c r="Y11" s="81"/>
    </row>
    <row r="12">
      <c r="A12" s="49" t="s">
        <v>86</v>
      </c>
      <c r="B12" s="30">
        <v>300000.0</v>
      </c>
      <c r="D12" s="33" t="s">
        <v>86</v>
      </c>
      <c r="E12" s="30">
        <v>300000.0</v>
      </c>
      <c r="G12" s="33" t="s">
        <v>112</v>
      </c>
      <c r="H12" s="30">
        <v>300000.0</v>
      </c>
      <c r="J12" s="33" t="s">
        <v>89</v>
      </c>
      <c r="K12" s="30">
        <v>100000.0</v>
      </c>
      <c r="L12" s="81"/>
      <c r="M12" s="81"/>
      <c r="N12" s="81"/>
      <c r="O12" s="81"/>
      <c r="P12" s="81"/>
      <c r="Q12" s="81"/>
      <c r="R12" s="81"/>
      <c r="S12" s="81"/>
      <c r="T12" s="81"/>
      <c r="U12" s="81"/>
      <c r="V12" s="81"/>
      <c r="W12" s="81"/>
      <c r="X12" s="81"/>
      <c r="Y12" s="81"/>
    </row>
    <row r="13">
      <c r="A13" s="49" t="s">
        <v>89</v>
      </c>
      <c r="B13" s="30">
        <v>100000.0</v>
      </c>
      <c r="D13" s="33" t="s">
        <v>93</v>
      </c>
      <c r="E13" s="30">
        <v>300000.0</v>
      </c>
      <c r="G13" s="33" t="s">
        <v>121</v>
      </c>
      <c r="H13" s="30">
        <v>150000.0</v>
      </c>
      <c r="J13" s="33" t="s">
        <v>121</v>
      </c>
      <c r="K13" s="30">
        <v>150000.0</v>
      </c>
      <c r="L13" s="81"/>
      <c r="M13" s="81"/>
      <c r="N13" s="81"/>
      <c r="O13" s="81"/>
      <c r="P13" s="81"/>
      <c r="Q13" s="81"/>
      <c r="R13" s="81"/>
      <c r="S13" s="81"/>
      <c r="T13" s="81"/>
      <c r="U13" s="81"/>
      <c r="V13" s="81"/>
      <c r="W13" s="81"/>
      <c r="X13" s="81"/>
      <c r="Y13" s="81"/>
    </row>
    <row r="14">
      <c r="A14" s="49" t="s">
        <v>93</v>
      </c>
      <c r="B14" s="30">
        <v>300000.0</v>
      </c>
      <c r="D14" s="33" t="s">
        <v>121</v>
      </c>
      <c r="E14" s="30">
        <v>150000.0</v>
      </c>
      <c r="G14" s="33" t="s">
        <v>124</v>
      </c>
      <c r="H14" s="30">
        <v>666667.0</v>
      </c>
      <c r="J14" s="33" t="s">
        <v>122</v>
      </c>
      <c r="K14" s="30">
        <v>1000000.0</v>
      </c>
      <c r="L14" s="81"/>
      <c r="M14" s="81"/>
      <c r="N14" s="81"/>
      <c r="O14" s="81"/>
      <c r="P14" s="81"/>
      <c r="Q14" s="81"/>
      <c r="R14" s="81"/>
      <c r="S14" s="81"/>
      <c r="T14" s="81"/>
      <c r="U14" s="81"/>
      <c r="V14" s="81"/>
      <c r="W14" s="81"/>
      <c r="X14" s="81"/>
      <c r="Y14" s="81"/>
    </row>
    <row r="15">
      <c r="A15" s="49" t="s">
        <v>95</v>
      </c>
      <c r="B15" s="30">
        <v>300000.0</v>
      </c>
      <c r="D15" s="33" t="s">
        <v>124</v>
      </c>
      <c r="E15" s="30">
        <v>666667.0</v>
      </c>
      <c r="G15" s="33" t="s">
        <v>125</v>
      </c>
      <c r="H15" s="30">
        <v>200000.0</v>
      </c>
      <c r="J15" s="33" t="s">
        <v>124</v>
      </c>
      <c r="K15" s="30">
        <v>666667.0</v>
      </c>
      <c r="L15" s="81"/>
      <c r="M15" s="81"/>
      <c r="N15" s="81"/>
      <c r="O15" s="81"/>
      <c r="P15" s="81"/>
      <c r="Q15" s="81"/>
      <c r="R15" s="81"/>
      <c r="S15" s="81"/>
      <c r="T15" s="81"/>
      <c r="U15" s="81"/>
      <c r="V15" s="81"/>
      <c r="W15" s="81"/>
      <c r="X15" s="81"/>
      <c r="Y15" s="81"/>
    </row>
    <row r="16">
      <c r="A16" s="49" t="s">
        <v>119</v>
      </c>
      <c r="B16" s="30">
        <v>250000.0</v>
      </c>
      <c r="D16" s="33" t="s">
        <v>125</v>
      </c>
      <c r="E16" s="30">
        <v>200000.0</v>
      </c>
      <c r="G16" s="79" t="s">
        <v>340</v>
      </c>
      <c r="H16" s="82">
        <f>SUM(H3:H15)</f>
        <v>3216667</v>
      </c>
      <c r="J16" s="79" t="s">
        <v>340</v>
      </c>
      <c r="K16" s="82">
        <f>SUM(K3:K15)</f>
        <v>4366667</v>
      </c>
    </row>
    <row r="17">
      <c r="A17" s="49" t="s">
        <v>121</v>
      </c>
      <c r="B17" s="30">
        <v>150000.0</v>
      </c>
      <c r="D17" s="79" t="s">
        <v>340</v>
      </c>
      <c r="E17" s="82">
        <f>SUM(E3:E16)</f>
        <v>4016667</v>
      </c>
    </row>
    <row r="18">
      <c r="A18" s="49" t="s">
        <v>124</v>
      </c>
      <c r="B18" s="30">
        <v>666667.0</v>
      </c>
      <c r="G18" s="52" t="s">
        <v>341</v>
      </c>
      <c r="H18" s="50">
        <v>750000.0</v>
      </c>
      <c r="J18" s="52" t="s">
        <v>341</v>
      </c>
      <c r="K18" s="50">
        <v>750000.0</v>
      </c>
      <c r="L18" s="81"/>
      <c r="M18" s="81"/>
      <c r="N18" s="81"/>
      <c r="O18" s="81"/>
      <c r="P18" s="81"/>
      <c r="Q18" s="81"/>
      <c r="R18" s="81"/>
      <c r="S18" s="81"/>
      <c r="T18" s="81"/>
      <c r="U18" s="81"/>
      <c r="V18" s="81"/>
      <c r="W18" s="81"/>
      <c r="X18" s="81"/>
      <c r="Y18" s="81"/>
    </row>
    <row r="19">
      <c r="A19" s="79" t="s">
        <v>340</v>
      </c>
      <c r="B19" s="82">
        <f>SUM(B3:B18)</f>
        <v>3666667</v>
      </c>
      <c r="D19" s="52" t="s">
        <v>341</v>
      </c>
      <c r="E19" s="50">
        <v>750000.0</v>
      </c>
      <c r="G19" s="52" t="s">
        <v>342</v>
      </c>
      <c r="H19" s="50">
        <v>950000.0</v>
      </c>
      <c r="J19" s="52" t="s">
        <v>342</v>
      </c>
      <c r="K19" s="50">
        <v>950000.0</v>
      </c>
      <c r="L19" s="81"/>
      <c r="M19" s="81"/>
      <c r="N19" s="81"/>
      <c r="O19" s="81"/>
      <c r="P19" s="81"/>
      <c r="Q19" s="81"/>
      <c r="R19" s="81"/>
      <c r="S19" s="81"/>
      <c r="T19" s="81"/>
      <c r="U19" s="81"/>
      <c r="V19" s="81"/>
      <c r="W19" s="81"/>
      <c r="X19" s="81"/>
      <c r="Y19" s="81"/>
    </row>
    <row r="20">
      <c r="D20" s="52" t="s">
        <v>342</v>
      </c>
      <c r="E20" s="50">
        <v>950000.0</v>
      </c>
      <c r="G20" s="52" t="s">
        <v>343</v>
      </c>
      <c r="H20" s="50">
        <v>750000.0</v>
      </c>
      <c r="J20" s="52" t="s">
        <v>343</v>
      </c>
      <c r="K20" s="50">
        <v>750000.0</v>
      </c>
      <c r="L20" s="81"/>
      <c r="M20" s="81"/>
      <c r="N20" s="81"/>
      <c r="O20" s="81"/>
      <c r="P20" s="81"/>
      <c r="Q20" s="81"/>
      <c r="R20" s="81"/>
      <c r="S20" s="81"/>
      <c r="T20" s="81"/>
      <c r="U20" s="81"/>
      <c r="V20" s="81"/>
      <c r="W20" s="81"/>
      <c r="X20" s="81"/>
      <c r="Y20" s="81"/>
    </row>
    <row r="21">
      <c r="A21" s="52" t="s">
        <v>341</v>
      </c>
      <c r="B21" s="50">
        <v>750000.0</v>
      </c>
      <c r="D21" s="52" t="s">
        <v>343</v>
      </c>
      <c r="E21" s="50">
        <v>750000.0</v>
      </c>
      <c r="G21" s="79" t="s">
        <v>29</v>
      </c>
      <c r="H21" s="82">
        <f>SUM(H18:H20)</f>
        <v>2450000</v>
      </c>
      <c r="J21" s="79" t="s">
        <v>29</v>
      </c>
      <c r="K21" s="82">
        <f>SUM(K18:K20)</f>
        <v>2450000</v>
      </c>
    </row>
    <row r="22">
      <c r="A22" s="52" t="s">
        <v>342</v>
      </c>
      <c r="B22" s="50">
        <v>950000.0</v>
      </c>
      <c r="D22" s="79" t="s">
        <v>29</v>
      </c>
      <c r="E22" s="82">
        <f>SUM(E19:E21)</f>
        <v>2450000</v>
      </c>
    </row>
    <row r="23">
      <c r="A23" s="52" t="s">
        <v>343</v>
      </c>
      <c r="B23" s="50">
        <v>750000.0</v>
      </c>
      <c r="G23" s="79" t="s">
        <v>344</v>
      </c>
      <c r="H23" s="82">
        <f>H16-H21</f>
        <v>766667</v>
      </c>
      <c r="J23" s="79" t="s">
        <v>345</v>
      </c>
      <c r="K23" s="82">
        <f>K16-K21</f>
        <v>1916667</v>
      </c>
    </row>
    <row r="24">
      <c r="A24" s="79" t="s">
        <v>29</v>
      </c>
      <c r="B24" s="82">
        <f>SUM(B21:B23)</f>
        <v>2450000</v>
      </c>
      <c r="D24" s="79" t="s">
        <v>346</v>
      </c>
      <c r="E24" s="82">
        <f>E17-E22</f>
        <v>1566667</v>
      </c>
      <c r="G24" s="79" t="s">
        <v>347</v>
      </c>
      <c r="H24" s="82">
        <f>E26</f>
        <v>3383334</v>
      </c>
      <c r="J24" s="79" t="s">
        <v>347</v>
      </c>
      <c r="K24" s="82">
        <f>H25</f>
        <v>4150001</v>
      </c>
    </row>
    <row r="25">
      <c r="D25" s="79" t="s">
        <v>347</v>
      </c>
      <c r="E25" s="82">
        <v>1816667.0</v>
      </c>
      <c r="G25" s="79" t="s">
        <v>348</v>
      </c>
      <c r="H25" s="82">
        <f>H23+H24</f>
        <v>4150001</v>
      </c>
      <c r="J25" s="79" t="s">
        <v>348</v>
      </c>
      <c r="K25" s="82">
        <f>K23+K24</f>
        <v>6066668</v>
      </c>
    </row>
    <row r="26">
      <c r="A26" s="79" t="s">
        <v>349</v>
      </c>
      <c r="B26" s="82">
        <f>B19-B24</f>
        <v>1216667</v>
      </c>
      <c r="D26" s="79" t="s">
        <v>348</v>
      </c>
      <c r="E26" s="82">
        <f>SUM(E24:E25)</f>
        <v>3383334</v>
      </c>
    </row>
    <row r="27">
      <c r="A27" s="79" t="s">
        <v>350</v>
      </c>
      <c r="B27" s="83">
        <v>600000.0</v>
      </c>
    </row>
    <row r="28">
      <c r="A28" s="79" t="s">
        <v>348</v>
      </c>
      <c r="B28" s="82">
        <f>SUM(B26:B27)</f>
        <v>1816667</v>
      </c>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row>
    <row r="32">
      <c r="A32" s="79" t="s">
        <v>351</v>
      </c>
      <c r="D32" s="79" t="s">
        <v>352</v>
      </c>
      <c r="G32" s="79" t="s">
        <v>353</v>
      </c>
      <c r="J32" s="79" t="s">
        <v>354</v>
      </c>
    </row>
    <row r="34">
      <c r="A34" s="79" t="s">
        <v>355</v>
      </c>
      <c r="B34" s="82">
        <f>K25</f>
        <v>6066668</v>
      </c>
      <c r="D34" s="33" t="s">
        <v>38</v>
      </c>
      <c r="E34" s="30">
        <v>200000.0</v>
      </c>
      <c r="G34" s="28" t="s">
        <v>34</v>
      </c>
      <c r="H34" s="30">
        <v>100000.0</v>
      </c>
      <c r="J34" s="28" t="s">
        <v>34</v>
      </c>
      <c r="K34" s="30">
        <v>400000.0</v>
      </c>
    </row>
    <row r="35">
      <c r="A35" s="52" t="s">
        <v>341</v>
      </c>
      <c r="B35" s="50">
        <v>750000.0</v>
      </c>
      <c r="D35" s="33" t="s">
        <v>40</v>
      </c>
      <c r="E35" s="30">
        <v>200000.0</v>
      </c>
      <c r="G35" s="33" t="s">
        <v>43</v>
      </c>
      <c r="H35" s="30">
        <v>500000.0</v>
      </c>
      <c r="J35" s="33" t="s">
        <v>40</v>
      </c>
      <c r="K35" s="30">
        <v>500000.0</v>
      </c>
    </row>
    <row r="36">
      <c r="A36" s="52" t="s">
        <v>342</v>
      </c>
      <c r="B36" s="50">
        <v>950000.0</v>
      </c>
      <c r="D36" s="33" t="s">
        <v>56</v>
      </c>
      <c r="E36" s="30">
        <v>200000.0</v>
      </c>
      <c r="G36" s="33" t="s">
        <v>49</v>
      </c>
      <c r="H36" s="30">
        <v>200000.0</v>
      </c>
      <c r="J36" s="33" t="s">
        <v>56</v>
      </c>
      <c r="K36" s="30">
        <v>200000.0</v>
      </c>
    </row>
    <row r="37">
      <c r="A37" s="52" t="s">
        <v>343</v>
      </c>
      <c r="B37" s="50">
        <v>750000.0</v>
      </c>
      <c r="D37" s="33" t="s">
        <v>58</v>
      </c>
      <c r="E37" s="30">
        <v>200000.0</v>
      </c>
      <c r="G37" s="33" t="s">
        <v>56</v>
      </c>
      <c r="H37" s="30">
        <v>200000.0</v>
      </c>
      <c r="J37" s="33" t="s">
        <v>58</v>
      </c>
      <c r="K37" s="30">
        <v>200000.0</v>
      </c>
    </row>
    <row r="38">
      <c r="A38" s="79" t="s">
        <v>356</v>
      </c>
      <c r="B38" s="82">
        <f>B34-B35-B36-B37</f>
        <v>3616668</v>
      </c>
      <c r="D38" s="33" t="s">
        <v>77</v>
      </c>
      <c r="E38" s="30">
        <v>200000.0</v>
      </c>
      <c r="G38" s="33" t="s">
        <v>58</v>
      </c>
      <c r="H38" s="30">
        <v>200000.0</v>
      </c>
      <c r="J38" s="33" t="s">
        <v>77</v>
      </c>
      <c r="K38" s="30">
        <v>200000.0</v>
      </c>
    </row>
    <row r="39">
      <c r="D39" s="33" t="s">
        <v>78</v>
      </c>
      <c r="E39" s="30">
        <v>100000.0</v>
      </c>
      <c r="G39" s="33" t="s">
        <v>77</v>
      </c>
      <c r="H39" s="30">
        <v>200000.0</v>
      </c>
      <c r="J39" s="33" t="s">
        <v>78</v>
      </c>
      <c r="K39" s="30">
        <v>100000.0</v>
      </c>
    </row>
    <row r="40">
      <c r="D40" s="33" t="s">
        <v>84</v>
      </c>
      <c r="E40" s="30">
        <v>200000.0</v>
      </c>
      <c r="G40" s="33" t="s">
        <v>78</v>
      </c>
      <c r="H40" s="30">
        <v>100000.0</v>
      </c>
      <c r="J40" s="33" t="s">
        <v>84</v>
      </c>
      <c r="K40" s="30">
        <v>200000.0</v>
      </c>
    </row>
    <row r="41">
      <c r="D41" s="33" t="s">
        <v>86</v>
      </c>
      <c r="E41" s="30">
        <v>300000.0</v>
      </c>
      <c r="G41" s="33" t="s">
        <v>84</v>
      </c>
      <c r="H41" s="30">
        <v>200000.0</v>
      </c>
      <c r="J41" s="33" t="s">
        <v>86</v>
      </c>
      <c r="K41" s="30">
        <v>300000.0</v>
      </c>
    </row>
    <row r="42">
      <c r="D42" s="33" t="s">
        <v>89</v>
      </c>
      <c r="E42" s="30">
        <v>100000.0</v>
      </c>
      <c r="G42" s="33" t="s">
        <v>86</v>
      </c>
      <c r="H42" s="30">
        <v>300000.0</v>
      </c>
      <c r="J42" s="33" t="s">
        <v>89</v>
      </c>
      <c r="K42" s="30">
        <v>100000.0</v>
      </c>
    </row>
    <row r="43">
      <c r="D43" s="33" t="s">
        <v>102</v>
      </c>
      <c r="E43" s="30">
        <v>100000.0</v>
      </c>
      <c r="G43" s="33" t="s">
        <v>89</v>
      </c>
      <c r="H43" s="30">
        <v>100000.0</v>
      </c>
      <c r="J43" s="33" t="s">
        <v>104</v>
      </c>
      <c r="K43" s="30">
        <v>200000.0</v>
      </c>
    </row>
    <row r="44">
      <c r="D44" s="33" t="s">
        <v>104</v>
      </c>
      <c r="E44" s="30">
        <v>200000.0</v>
      </c>
      <c r="G44" s="33" t="s">
        <v>104</v>
      </c>
      <c r="H44" s="30">
        <v>200000.0</v>
      </c>
      <c r="J44" s="33" t="s">
        <v>121</v>
      </c>
      <c r="K44" s="30">
        <v>150000.0</v>
      </c>
    </row>
    <row r="45">
      <c r="D45" s="33" t="s">
        <v>121</v>
      </c>
      <c r="E45" s="30">
        <v>150000.0</v>
      </c>
      <c r="G45" s="33" t="s">
        <v>119</v>
      </c>
      <c r="H45" s="30">
        <v>300000.0</v>
      </c>
      <c r="J45" s="33" t="s">
        <v>124</v>
      </c>
      <c r="K45" s="30">
        <v>666667.0</v>
      </c>
    </row>
    <row r="46">
      <c r="D46" s="33" t="s">
        <v>122</v>
      </c>
      <c r="E46" s="30">
        <v>300000.0</v>
      </c>
      <c r="G46" s="33" t="s">
        <v>121</v>
      </c>
      <c r="H46" s="30">
        <v>150000.0</v>
      </c>
      <c r="J46" s="79" t="s">
        <v>340</v>
      </c>
      <c r="K46" s="82">
        <f>SUM(K34:K45)</f>
        <v>3216667</v>
      </c>
    </row>
    <row r="47">
      <c r="D47" s="33" t="s">
        <v>124</v>
      </c>
      <c r="E47" s="30">
        <v>666667.0</v>
      </c>
      <c r="G47" s="33" t="s">
        <v>124</v>
      </c>
      <c r="H47" s="30">
        <v>666667.0</v>
      </c>
    </row>
    <row r="48">
      <c r="D48" s="33" t="s">
        <v>125</v>
      </c>
      <c r="E48" s="30">
        <v>200000.0</v>
      </c>
      <c r="G48" s="79" t="s">
        <v>340</v>
      </c>
      <c r="H48" s="82">
        <f>SUM(H34:H47)</f>
        <v>3416667</v>
      </c>
      <c r="J48" s="52" t="s">
        <v>341</v>
      </c>
      <c r="K48" s="50">
        <v>750000.0</v>
      </c>
    </row>
    <row r="49">
      <c r="D49" s="79" t="s">
        <v>340</v>
      </c>
      <c r="E49" s="82">
        <f>SUM(E34:E48)</f>
        <v>3316667</v>
      </c>
      <c r="J49" s="52" t="s">
        <v>342</v>
      </c>
      <c r="K49" s="50">
        <v>950000.0</v>
      </c>
    </row>
    <row r="50">
      <c r="G50" s="52" t="s">
        <v>341</v>
      </c>
      <c r="H50" s="50">
        <v>750000.0</v>
      </c>
      <c r="J50" s="52" t="s">
        <v>343</v>
      </c>
      <c r="K50" s="50">
        <v>750000.0</v>
      </c>
    </row>
    <row r="51">
      <c r="D51" s="52" t="s">
        <v>341</v>
      </c>
      <c r="E51" s="50">
        <v>750000.0</v>
      </c>
      <c r="G51" s="52" t="s">
        <v>342</v>
      </c>
      <c r="H51" s="50">
        <v>950000.0</v>
      </c>
      <c r="J51" s="79" t="s">
        <v>29</v>
      </c>
      <c r="K51" s="82">
        <f>SUM(K48:K50)</f>
        <v>2450000</v>
      </c>
    </row>
    <row r="52">
      <c r="D52" s="52" t="s">
        <v>342</v>
      </c>
      <c r="E52" s="50">
        <v>950000.0</v>
      </c>
      <c r="G52" s="52" t="s">
        <v>343</v>
      </c>
      <c r="H52" s="50">
        <v>750000.0</v>
      </c>
    </row>
    <row r="53">
      <c r="D53" s="52" t="s">
        <v>343</v>
      </c>
      <c r="E53" s="50">
        <v>750000.0</v>
      </c>
      <c r="G53" s="79" t="s">
        <v>29</v>
      </c>
      <c r="H53" s="82">
        <f>SUM(H50:H52)</f>
        <v>2450000</v>
      </c>
      <c r="J53" s="79" t="s">
        <v>357</v>
      </c>
      <c r="K53" s="82">
        <f>K46-K51</f>
        <v>766667</v>
      </c>
    </row>
    <row r="54">
      <c r="D54" s="79" t="s">
        <v>29</v>
      </c>
      <c r="E54" s="82">
        <f>SUM(E51:E53)</f>
        <v>2450000</v>
      </c>
      <c r="J54" s="79" t="s">
        <v>358</v>
      </c>
      <c r="K54" s="82">
        <f>H57</f>
        <v>5450002</v>
      </c>
    </row>
    <row r="55">
      <c r="G55" s="79" t="s">
        <v>359</v>
      </c>
      <c r="H55" s="82">
        <f>H48-H53</f>
        <v>966667</v>
      </c>
      <c r="J55" s="79" t="s">
        <v>348</v>
      </c>
      <c r="K55" s="82">
        <f>K53+K54</f>
        <v>6216669</v>
      </c>
    </row>
    <row r="56">
      <c r="D56" s="79" t="s">
        <v>360</v>
      </c>
      <c r="E56" s="82">
        <f>E49-E54</f>
        <v>866667</v>
      </c>
      <c r="G56" s="79" t="s">
        <v>358</v>
      </c>
      <c r="H56" s="82">
        <f>E58</f>
        <v>4483335</v>
      </c>
    </row>
    <row r="57">
      <c r="D57" s="79" t="s">
        <v>358</v>
      </c>
      <c r="E57" s="82">
        <f>B38</f>
        <v>3616668</v>
      </c>
      <c r="G57" s="79" t="s">
        <v>348</v>
      </c>
      <c r="H57" s="82">
        <f>SUM(H55:H56)</f>
        <v>5450002</v>
      </c>
    </row>
    <row r="58">
      <c r="D58" s="79" t="s">
        <v>348</v>
      </c>
      <c r="E58" s="82">
        <f>E56+E57</f>
        <v>4483335</v>
      </c>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row>
    <row r="62">
      <c r="A62" s="79" t="s">
        <v>361</v>
      </c>
      <c r="D62" s="79" t="s">
        <v>362</v>
      </c>
      <c r="G62" s="79" t="s">
        <v>363</v>
      </c>
      <c r="J62" s="79" t="s">
        <v>364</v>
      </c>
    </row>
    <row r="64">
      <c r="A64" s="28" t="s">
        <v>34</v>
      </c>
      <c r="B64" s="30">
        <v>100000.0</v>
      </c>
      <c r="D64" s="28" t="s">
        <v>34</v>
      </c>
      <c r="E64" s="30">
        <v>100000.0</v>
      </c>
      <c r="G64" s="28" t="s">
        <v>34</v>
      </c>
      <c r="H64" s="34">
        <v>200000.0</v>
      </c>
      <c r="J64" s="28" t="s">
        <v>34</v>
      </c>
      <c r="K64" s="30">
        <v>100000.0</v>
      </c>
    </row>
    <row r="65">
      <c r="A65" s="33" t="s">
        <v>40</v>
      </c>
      <c r="B65" s="30">
        <v>200000.0</v>
      </c>
      <c r="D65" s="33" t="s">
        <v>40</v>
      </c>
      <c r="E65" s="30">
        <v>200000.0</v>
      </c>
      <c r="G65" s="33" t="s">
        <v>36</v>
      </c>
      <c r="H65" s="34">
        <v>250000.0</v>
      </c>
      <c r="J65" s="33" t="s">
        <v>55</v>
      </c>
      <c r="K65" s="30">
        <v>200000.0</v>
      </c>
    </row>
    <row r="66">
      <c r="A66" s="33" t="s">
        <v>46</v>
      </c>
      <c r="B66" s="30">
        <v>300000.0</v>
      </c>
      <c r="D66" s="33" t="s">
        <v>56</v>
      </c>
      <c r="E66" s="30">
        <v>200000.0</v>
      </c>
      <c r="G66" s="33" t="s">
        <v>39</v>
      </c>
      <c r="H66" s="34">
        <v>300000.0</v>
      </c>
      <c r="J66" s="33" t="s">
        <v>56</v>
      </c>
      <c r="K66" s="30">
        <v>200000.0</v>
      </c>
    </row>
    <row r="67">
      <c r="A67" s="33" t="s">
        <v>56</v>
      </c>
      <c r="B67" s="30">
        <v>200000.0</v>
      </c>
      <c r="D67" s="33" t="s">
        <v>58</v>
      </c>
      <c r="E67" s="30">
        <v>200000.0</v>
      </c>
      <c r="G67" s="33" t="s">
        <v>40</v>
      </c>
      <c r="H67" s="34">
        <v>200000.0</v>
      </c>
      <c r="J67" s="33" t="s">
        <v>58</v>
      </c>
      <c r="K67" s="30">
        <v>200000.0</v>
      </c>
    </row>
    <row r="68">
      <c r="A68" s="33" t="s">
        <v>58</v>
      </c>
      <c r="B68" s="30">
        <v>200000.0</v>
      </c>
      <c r="D68" s="33" t="s">
        <v>67</v>
      </c>
      <c r="E68" s="30">
        <v>300000.0</v>
      </c>
      <c r="G68" s="33" t="s">
        <v>43</v>
      </c>
      <c r="H68" s="34">
        <v>300000.0</v>
      </c>
      <c r="J68" s="33" t="s">
        <v>63</v>
      </c>
      <c r="K68" s="30">
        <v>150000.0</v>
      </c>
    </row>
    <row r="69">
      <c r="A69" s="33" t="s">
        <v>63</v>
      </c>
      <c r="B69" s="30">
        <v>350000.0</v>
      </c>
      <c r="D69" s="33" t="s">
        <v>78</v>
      </c>
      <c r="E69" s="30">
        <v>100000.0</v>
      </c>
      <c r="G69" s="33" t="s">
        <v>47</v>
      </c>
      <c r="H69" s="34">
        <v>100000.0</v>
      </c>
      <c r="J69" s="33" t="s">
        <v>78</v>
      </c>
      <c r="K69" s="30">
        <v>100000.0</v>
      </c>
    </row>
    <row r="70">
      <c r="A70" s="33" t="s">
        <v>68</v>
      </c>
      <c r="B70" s="30">
        <v>100000.0</v>
      </c>
      <c r="D70" s="33" t="s">
        <v>84</v>
      </c>
      <c r="E70" s="30">
        <v>200000.0</v>
      </c>
      <c r="G70" s="33" t="s">
        <v>49</v>
      </c>
      <c r="H70" s="34">
        <v>200000.0</v>
      </c>
      <c r="J70" s="33" t="s">
        <v>84</v>
      </c>
      <c r="K70" s="30">
        <v>200000.0</v>
      </c>
    </row>
    <row r="71">
      <c r="A71" s="33" t="s">
        <v>77</v>
      </c>
      <c r="B71" s="30">
        <v>200000.0</v>
      </c>
      <c r="D71" s="33" t="s">
        <v>86</v>
      </c>
      <c r="E71" s="30">
        <v>300000.0</v>
      </c>
      <c r="G71" s="33" t="s">
        <v>52</v>
      </c>
      <c r="H71" s="34">
        <v>150000.0</v>
      </c>
      <c r="J71" s="33" t="s">
        <v>103</v>
      </c>
      <c r="K71" s="30">
        <v>200000.0</v>
      </c>
    </row>
    <row r="72">
      <c r="A72" s="33" t="s">
        <v>78</v>
      </c>
      <c r="B72" s="30">
        <v>100000.0</v>
      </c>
      <c r="D72" s="33" t="s">
        <v>89</v>
      </c>
      <c r="E72" s="30">
        <v>100000.0</v>
      </c>
      <c r="G72" s="33" t="s">
        <v>56</v>
      </c>
      <c r="H72" s="34">
        <v>500000.0</v>
      </c>
      <c r="J72" s="33" t="s">
        <v>121</v>
      </c>
      <c r="K72" s="30">
        <v>150000.0</v>
      </c>
    </row>
    <row r="73">
      <c r="A73" s="33" t="s">
        <v>84</v>
      </c>
      <c r="B73" s="30">
        <v>200000.0</v>
      </c>
      <c r="D73" s="33" t="s">
        <v>103</v>
      </c>
      <c r="E73" s="30">
        <v>200000.0</v>
      </c>
      <c r="G73" s="33" t="s">
        <v>58</v>
      </c>
      <c r="H73" s="34">
        <v>100000.0</v>
      </c>
      <c r="J73" s="33" t="s">
        <v>124</v>
      </c>
      <c r="K73" s="30">
        <v>666667.0</v>
      </c>
    </row>
    <row r="74">
      <c r="A74" s="33" t="s">
        <v>86</v>
      </c>
      <c r="B74" s="30">
        <v>300000.0</v>
      </c>
      <c r="D74" s="33" t="s">
        <v>106</v>
      </c>
      <c r="E74" s="30">
        <v>100000.0</v>
      </c>
      <c r="G74" s="33" t="s">
        <v>63</v>
      </c>
      <c r="H74" s="34">
        <v>150000.0</v>
      </c>
      <c r="J74" s="79" t="s">
        <v>340</v>
      </c>
      <c r="K74" s="82">
        <f>SUM(K64:K73)</f>
        <v>2166667</v>
      </c>
    </row>
    <row r="75">
      <c r="A75" s="33" t="s">
        <v>89</v>
      </c>
      <c r="B75" s="30">
        <v>100000.0</v>
      </c>
      <c r="D75" s="33" t="s">
        <v>121</v>
      </c>
      <c r="E75" s="30">
        <v>150000.0</v>
      </c>
      <c r="G75" s="33" t="s">
        <v>64</v>
      </c>
      <c r="H75" s="34">
        <v>500000.0</v>
      </c>
    </row>
    <row r="76">
      <c r="A76" s="33" t="s">
        <v>119</v>
      </c>
      <c r="B76" s="30">
        <v>300000.0</v>
      </c>
      <c r="D76" s="33" t="s">
        <v>122</v>
      </c>
      <c r="E76" s="30">
        <v>500000.0</v>
      </c>
      <c r="G76" s="33" t="s">
        <v>66</v>
      </c>
      <c r="H76" s="34">
        <v>500000.0</v>
      </c>
      <c r="J76" s="52" t="s">
        <v>341</v>
      </c>
      <c r="K76" s="50">
        <v>750000.0</v>
      </c>
    </row>
    <row r="77">
      <c r="A77" s="33" t="s">
        <v>121</v>
      </c>
      <c r="B77" s="30">
        <v>150000.0</v>
      </c>
      <c r="D77" s="33" t="s">
        <v>124</v>
      </c>
      <c r="E77" s="30">
        <v>666667.0</v>
      </c>
      <c r="G77" s="33" t="s">
        <v>67</v>
      </c>
      <c r="H77" s="34">
        <v>250000.0</v>
      </c>
      <c r="J77" s="52" t="s">
        <v>342</v>
      </c>
      <c r="K77" s="50">
        <v>950000.0</v>
      </c>
    </row>
    <row r="78">
      <c r="A78" s="33" t="s">
        <v>124</v>
      </c>
      <c r="B78" s="30">
        <v>666667.0</v>
      </c>
      <c r="D78" s="79" t="s">
        <v>340</v>
      </c>
      <c r="E78" s="82">
        <f>SUM(E64:E77)</f>
        <v>3316667</v>
      </c>
      <c r="G78" s="33" t="s">
        <v>69</v>
      </c>
      <c r="H78" s="34">
        <v>500000.0</v>
      </c>
      <c r="J78" s="52" t="s">
        <v>343</v>
      </c>
      <c r="K78" s="50">
        <v>750000.0</v>
      </c>
    </row>
    <row r="79">
      <c r="A79" s="79" t="s">
        <v>340</v>
      </c>
      <c r="B79" s="82">
        <f>SUM(B64:B78)</f>
        <v>3466667</v>
      </c>
      <c r="G79" s="33" t="s">
        <v>76</v>
      </c>
      <c r="H79" s="34">
        <v>500000.0</v>
      </c>
      <c r="J79" s="79" t="s">
        <v>29</v>
      </c>
      <c r="K79" s="82">
        <f>SUM(K76:K78)</f>
        <v>2450000</v>
      </c>
    </row>
    <row r="80">
      <c r="D80" s="52" t="s">
        <v>341</v>
      </c>
      <c r="E80" s="50">
        <v>750000.0</v>
      </c>
      <c r="G80" s="33" t="s">
        <v>77</v>
      </c>
      <c r="H80" s="34">
        <v>250000.0</v>
      </c>
    </row>
    <row r="81">
      <c r="A81" s="52" t="s">
        <v>341</v>
      </c>
      <c r="B81" s="50">
        <v>750000.0</v>
      </c>
      <c r="D81" s="52" t="s">
        <v>342</v>
      </c>
      <c r="E81" s="50">
        <v>950000.0</v>
      </c>
      <c r="G81" s="33" t="s">
        <v>81</v>
      </c>
      <c r="H81" s="34">
        <v>500000.0</v>
      </c>
      <c r="J81" s="79" t="s">
        <v>365</v>
      </c>
      <c r="K81" s="82">
        <f>K74-K79</f>
        <v>-283333</v>
      </c>
    </row>
    <row r="82">
      <c r="A82" s="52" t="s">
        <v>342</v>
      </c>
      <c r="B82" s="50">
        <v>950000.0</v>
      </c>
      <c r="D82" s="52" t="s">
        <v>343</v>
      </c>
      <c r="E82" s="50">
        <v>750000.0</v>
      </c>
      <c r="G82" s="33" t="s">
        <v>84</v>
      </c>
      <c r="H82" s="34">
        <v>300000.0</v>
      </c>
      <c r="J82" s="79" t="s">
        <v>358</v>
      </c>
      <c r="K82" s="82">
        <f>E87</f>
        <v>8100003</v>
      </c>
    </row>
    <row r="83">
      <c r="A83" s="52" t="s">
        <v>343</v>
      </c>
      <c r="B83" s="50">
        <v>750000.0</v>
      </c>
      <c r="D83" s="79" t="s">
        <v>29</v>
      </c>
      <c r="E83" s="82">
        <f>SUM(E80:E82)</f>
        <v>2450000</v>
      </c>
      <c r="G83" s="33" t="s">
        <v>86</v>
      </c>
      <c r="H83" s="34">
        <v>300000.0</v>
      </c>
      <c r="J83" s="79" t="s">
        <v>348</v>
      </c>
      <c r="K83" s="82">
        <f>SUM(K81:K82)</f>
        <v>7816670</v>
      </c>
    </row>
    <row r="84">
      <c r="A84" s="79" t="s">
        <v>29</v>
      </c>
      <c r="B84" s="82">
        <f>SUM(B81:B83)</f>
        <v>2450000</v>
      </c>
      <c r="G84" s="33" t="s">
        <v>87</v>
      </c>
      <c r="H84" s="34">
        <v>500000.0</v>
      </c>
    </row>
    <row r="85">
      <c r="D85" s="79" t="s">
        <v>366</v>
      </c>
      <c r="E85" s="82">
        <f>E78-E83</f>
        <v>866667</v>
      </c>
      <c r="G85" s="33" t="s">
        <v>88</v>
      </c>
      <c r="H85" s="34">
        <v>1000000.0</v>
      </c>
    </row>
    <row r="86">
      <c r="A86" s="79" t="s">
        <v>367</v>
      </c>
      <c r="B86" s="82">
        <f>B79-B84</f>
        <v>1016667</v>
      </c>
      <c r="D86" s="79" t="s">
        <v>358</v>
      </c>
      <c r="E86" s="82">
        <f>B88</f>
        <v>7233336</v>
      </c>
      <c r="G86" s="33" t="s">
        <v>89</v>
      </c>
      <c r="H86" s="34">
        <v>100000.0</v>
      </c>
    </row>
    <row r="87">
      <c r="A87" s="79" t="s">
        <v>358</v>
      </c>
      <c r="B87" s="82">
        <f>K55</f>
        <v>6216669</v>
      </c>
      <c r="D87" s="79" t="s">
        <v>348</v>
      </c>
      <c r="E87" s="82">
        <f>E85+E86</f>
        <v>8100003</v>
      </c>
      <c r="G87" s="33" t="s">
        <v>92</v>
      </c>
      <c r="H87" s="34">
        <v>100000.0</v>
      </c>
    </row>
    <row r="88">
      <c r="A88" s="79" t="s">
        <v>348</v>
      </c>
      <c r="B88" s="82">
        <f>B86+B87</f>
        <v>7233336</v>
      </c>
      <c r="G88" s="33" t="s">
        <v>93</v>
      </c>
      <c r="H88" s="34">
        <v>500000.0</v>
      </c>
    </row>
    <row r="89">
      <c r="G89" s="33" t="s">
        <v>95</v>
      </c>
      <c r="H89" s="34">
        <v>200000.0</v>
      </c>
    </row>
    <row r="90">
      <c r="G90" s="33" t="s">
        <v>101</v>
      </c>
      <c r="H90" s="34">
        <v>250000.0</v>
      </c>
    </row>
    <row r="91">
      <c r="G91" s="33" t="s">
        <v>105</v>
      </c>
      <c r="H91" s="34">
        <v>500000.0</v>
      </c>
    </row>
    <row r="92">
      <c r="G92" s="33" t="s">
        <v>114</v>
      </c>
      <c r="H92" s="34">
        <v>500000.0</v>
      </c>
    </row>
    <row r="93">
      <c r="G93" s="33" t="s">
        <v>115</v>
      </c>
      <c r="H93" s="34">
        <v>200000.0</v>
      </c>
    </row>
    <row r="94">
      <c r="G94" s="33" t="s">
        <v>116</v>
      </c>
      <c r="H94" s="34">
        <v>200000.0</v>
      </c>
    </row>
    <row r="95">
      <c r="G95" s="33" t="s">
        <v>121</v>
      </c>
      <c r="H95" s="34">
        <v>150000.0</v>
      </c>
    </row>
    <row r="96">
      <c r="G96" s="33" t="s">
        <v>122</v>
      </c>
      <c r="H96" s="34">
        <v>300000.0</v>
      </c>
    </row>
    <row r="97">
      <c r="G97" s="33" t="s">
        <v>125</v>
      </c>
      <c r="H97" s="34">
        <v>200000.0</v>
      </c>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row>
    <row r="101">
      <c r="A101" s="79" t="s">
        <v>368</v>
      </c>
      <c r="D101" s="79" t="s">
        <v>369</v>
      </c>
      <c r="G101" s="79" t="s">
        <v>370</v>
      </c>
      <c r="J101" s="79" t="s">
        <v>371</v>
      </c>
    </row>
    <row r="103">
      <c r="A103" s="28" t="s">
        <v>34</v>
      </c>
      <c r="B103" s="30">
        <v>100000.0</v>
      </c>
      <c r="D103" s="85" t="s">
        <v>34</v>
      </c>
      <c r="E103" s="86">
        <v>100000.0</v>
      </c>
      <c r="G103" s="33" t="s">
        <v>39</v>
      </c>
      <c r="H103" s="83">
        <v>200000.0</v>
      </c>
      <c r="J103" s="33" t="s">
        <v>56</v>
      </c>
      <c r="K103" s="30">
        <v>200000.0</v>
      </c>
    </row>
    <row r="104">
      <c r="A104" s="33" t="s">
        <v>67</v>
      </c>
      <c r="B104" s="30">
        <v>600000.0</v>
      </c>
      <c r="D104" s="85" t="s">
        <v>40</v>
      </c>
      <c r="E104" s="86">
        <v>200000.0</v>
      </c>
      <c r="G104" s="33" t="s">
        <v>55</v>
      </c>
      <c r="H104" s="83">
        <v>100000.0</v>
      </c>
      <c r="J104" s="33" t="s">
        <v>58</v>
      </c>
      <c r="K104" s="30">
        <v>200000.0</v>
      </c>
    </row>
    <row r="105">
      <c r="A105" s="33" t="s">
        <v>78</v>
      </c>
      <c r="B105" s="30">
        <v>100000.0</v>
      </c>
      <c r="D105" s="85" t="s">
        <v>56</v>
      </c>
      <c r="E105" s="86">
        <v>200000.0</v>
      </c>
      <c r="G105" s="33" t="s">
        <v>56</v>
      </c>
      <c r="H105" s="83">
        <v>300000.0</v>
      </c>
      <c r="J105" s="33" t="s">
        <v>67</v>
      </c>
      <c r="K105" s="30">
        <v>300000.0</v>
      </c>
    </row>
    <row r="106">
      <c r="A106" s="33" t="s">
        <v>84</v>
      </c>
      <c r="B106" s="30">
        <v>200000.0</v>
      </c>
      <c r="D106" s="85" t="s">
        <v>58</v>
      </c>
      <c r="E106" s="86">
        <v>400000.0</v>
      </c>
      <c r="G106" s="33" t="s">
        <v>58</v>
      </c>
      <c r="H106" s="83">
        <v>300000.0</v>
      </c>
      <c r="J106" s="33" t="s">
        <v>84</v>
      </c>
      <c r="K106" s="30">
        <v>200000.0</v>
      </c>
    </row>
    <row r="107">
      <c r="A107" s="33" t="s">
        <v>86</v>
      </c>
      <c r="B107" s="30">
        <v>600000.0</v>
      </c>
      <c r="D107" s="85" t="s">
        <v>63</v>
      </c>
      <c r="E107" s="86">
        <v>150000.0</v>
      </c>
      <c r="G107" s="33" t="s">
        <v>63</v>
      </c>
      <c r="H107" s="83">
        <v>50000.0</v>
      </c>
      <c r="J107" s="33" t="s">
        <v>86</v>
      </c>
      <c r="K107" s="30">
        <v>300000.0</v>
      </c>
    </row>
    <row r="108">
      <c r="A108" s="33" t="s">
        <v>103</v>
      </c>
      <c r="B108" s="30">
        <v>200000.0</v>
      </c>
      <c r="D108" s="85" t="s">
        <v>67</v>
      </c>
      <c r="E108" s="86">
        <v>300000.0</v>
      </c>
      <c r="G108" s="33" t="s">
        <v>76</v>
      </c>
      <c r="H108" s="83">
        <v>300000.0</v>
      </c>
      <c r="J108" s="33" t="s">
        <v>102</v>
      </c>
      <c r="K108" s="30">
        <v>100000.0</v>
      </c>
    </row>
    <row r="109">
      <c r="A109" s="33" t="s">
        <v>104</v>
      </c>
      <c r="B109" s="30">
        <v>200000.0</v>
      </c>
      <c r="D109" s="85" t="s">
        <v>84</v>
      </c>
      <c r="E109" s="86">
        <v>200000.0</v>
      </c>
      <c r="G109" s="33" t="s">
        <v>84</v>
      </c>
      <c r="H109" s="83">
        <v>1000000.0</v>
      </c>
      <c r="J109" s="33" t="s">
        <v>103</v>
      </c>
      <c r="K109" s="30">
        <v>200000.0</v>
      </c>
    </row>
    <row r="110">
      <c r="A110" s="33" t="s">
        <v>121</v>
      </c>
      <c r="B110" s="30">
        <v>150000.0</v>
      </c>
      <c r="D110" s="85" t="s">
        <v>86</v>
      </c>
      <c r="E110" s="86">
        <v>300000.0</v>
      </c>
      <c r="G110" s="33" t="s">
        <v>86</v>
      </c>
      <c r="H110" s="83">
        <v>300000.0</v>
      </c>
      <c r="J110" s="33" t="s">
        <v>121</v>
      </c>
      <c r="K110" s="30">
        <v>300000.0</v>
      </c>
    </row>
    <row r="111">
      <c r="A111" s="33" t="s">
        <v>124</v>
      </c>
      <c r="B111" s="30">
        <v>666667.0</v>
      </c>
      <c r="D111" s="85" t="s">
        <v>89</v>
      </c>
      <c r="E111" s="86">
        <v>50000.0</v>
      </c>
      <c r="G111" s="33" t="s">
        <v>89</v>
      </c>
      <c r="H111" s="83">
        <v>200000.0</v>
      </c>
      <c r="J111" s="79" t="s">
        <v>340</v>
      </c>
      <c r="K111" s="82">
        <f>SUM(K103:K110)</f>
        <v>1800000</v>
      </c>
    </row>
    <row r="112">
      <c r="A112" s="79" t="s">
        <v>340</v>
      </c>
      <c r="B112" s="82">
        <f>SUM(B103:B111)</f>
        <v>2816667</v>
      </c>
      <c r="D112" s="85" t="s">
        <v>103</v>
      </c>
      <c r="E112" s="86">
        <v>200000.0</v>
      </c>
      <c r="G112" s="33" t="s">
        <v>101</v>
      </c>
      <c r="H112" s="83">
        <v>150000.0</v>
      </c>
    </row>
    <row r="113">
      <c r="D113" s="85" t="s">
        <v>104</v>
      </c>
      <c r="E113" s="86">
        <v>250000.0</v>
      </c>
      <c r="G113" s="33" t="s">
        <v>117</v>
      </c>
      <c r="H113" s="83">
        <v>1000000.0</v>
      </c>
      <c r="J113" s="52" t="s">
        <v>341</v>
      </c>
      <c r="K113" s="50">
        <v>750000.0</v>
      </c>
    </row>
    <row r="114">
      <c r="A114" s="52" t="s">
        <v>341</v>
      </c>
      <c r="B114" s="50">
        <v>750000.0</v>
      </c>
      <c r="D114" s="85" t="s">
        <v>121</v>
      </c>
      <c r="E114" s="86">
        <v>150000.0</v>
      </c>
      <c r="G114" s="33" t="s">
        <v>121</v>
      </c>
      <c r="H114" s="83">
        <v>300000.0</v>
      </c>
      <c r="J114" s="52" t="s">
        <v>342</v>
      </c>
      <c r="K114" s="50">
        <v>950000.0</v>
      </c>
    </row>
    <row r="115">
      <c r="A115" s="52" t="s">
        <v>342</v>
      </c>
      <c r="B115" s="50">
        <v>950000.0</v>
      </c>
      <c r="D115" s="85" t="s">
        <v>124</v>
      </c>
      <c r="E115" s="86">
        <v>666667.0</v>
      </c>
      <c r="G115" s="33" t="s">
        <v>122</v>
      </c>
      <c r="H115" s="83">
        <v>300000.0</v>
      </c>
      <c r="J115" s="52" t="s">
        <v>343</v>
      </c>
      <c r="K115" s="50">
        <v>750000.0</v>
      </c>
    </row>
    <row r="116">
      <c r="A116" s="52" t="s">
        <v>343</v>
      </c>
      <c r="B116" s="50">
        <v>750000.0</v>
      </c>
      <c r="D116" s="79" t="s">
        <v>340</v>
      </c>
      <c r="E116" s="82">
        <f>SUM(E103:E115)</f>
        <v>3166667</v>
      </c>
      <c r="G116" s="33" t="s">
        <v>125</v>
      </c>
      <c r="H116" s="83">
        <v>200000.0</v>
      </c>
      <c r="J116" s="79" t="s">
        <v>29</v>
      </c>
      <c r="K116" s="82">
        <f>SUM(K113:K115)</f>
        <v>2450000</v>
      </c>
    </row>
    <row r="117">
      <c r="A117" s="79" t="s">
        <v>29</v>
      </c>
      <c r="B117" s="82">
        <f>SUM(B114:B116)</f>
        <v>2450000</v>
      </c>
      <c r="G117" s="79" t="s">
        <v>372</v>
      </c>
      <c r="H117" s="82">
        <f>SUM(H103:H116)</f>
        <v>4700000</v>
      </c>
    </row>
    <row r="118">
      <c r="D118" s="52" t="s">
        <v>341</v>
      </c>
      <c r="E118" s="50">
        <v>750000.0</v>
      </c>
      <c r="J118" s="79" t="s">
        <v>373</v>
      </c>
      <c r="K118" s="82">
        <f>K111-K116</f>
        <v>-650000</v>
      </c>
    </row>
    <row r="119">
      <c r="A119" s="79" t="s">
        <v>374</v>
      </c>
      <c r="B119" s="82">
        <f>B112-B117</f>
        <v>366667</v>
      </c>
      <c r="D119" s="52" t="s">
        <v>342</v>
      </c>
      <c r="E119" s="50">
        <v>950000.0</v>
      </c>
      <c r="J119" s="79" t="s">
        <v>358</v>
      </c>
      <c r="K119" s="82">
        <f>E125</f>
        <v>8900004</v>
      </c>
    </row>
    <row r="120">
      <c r="A120" s="79" t="s">
        <v>358</v>
      </c>
      <c r="B120" s="82">
        <f>K83</f>
        <v>7816670</v>
      </c>
      <c r="D120" s="52" t="s">
        <v>343</v>
      </c>
      <c r="E120" s="50">
        <v>750000.0</v>
      </c>
      <c r="J120" s="79" t="s">
        <v>375</v>
      </c>
      <c r="K120" s="82">
        <f>K118+K119</f>
        <v>8250004</v>
      </c>
    </row>
    <row r="121">
      <c r="A121" s="79" t="s">
        <v>348</v>
      </c>
      <c r="B121" s="82">
        <f>B119+B120</f>
        <v>8183337</v>
      </c>
      <c r="D121" s="79" t="s">
        <v>29</v>
      </c>
      <c r="E121" s="82">
        <f>SUM(E118:E120)</f>
        <v>2450000</v>
      </c>
    </row>
    <row r="123">
      <c r="D123" s="79" t="s">
        <v>376</v>
      </c>
      <c r="E123" s="82">
        <f>E116-E121</f>
        <v>716667</v>
      </c>
    </row>
    <row r="124">
      <c r="D124" s="79" t="s">
        <v>358</v>
      </c>
      <c r="E124" s="82">
        <f>B121</f>
        <v>8183337</v>
      </c>
    </row>
    <row r="125">
      <c r="D125" s="79" t="s">
        <v>348</v>
      </c>
      <c r="E125" s="82">
        <f>E123+E124</f>
        <v>8900004</v>
      </c>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row>
    <row r="129">
      <c r="A129" s="79" t="s">
        <v>377</v>
      </c>
      <c r="D129" s="79" t="s">
        <v>378</v>
      </c>
      <c r="G129" s="79" t="s">
        <v>379</v>
      </c>
      <c r="J129" s="79" t="s">
        <v>380</v>
      </c>
    </row>
    <row r="131">
      <c r="A131" s="85" t="s">
        <v>34</v>
      </c>
      <c r="B131" s="86">
        <v>100000.0</v>
      </c>
      <c r="D131" s="85" t="s">
        <v>34</v>
      </c>
      <c r="E131" s="86">
        <v>100000.0</v>
      </c>
      <c r="G131" s="28" t="s">
        <v>44</v>
      </c>
      <c r="H131" s="86">
        <v>500000.0</v>
      </c>
      <c r="J131" s="85" t="s">
        <v>34</v>
      </c>
      <c r="K131" s="86">
        <v>100000.0</v>
      </c>
    </row>
    <row r="132">
      <c r="A132" s="85" t="s">
        <v>40</v>
      </c>
      <c r="B132" s="86">
        <v>200000.0</v>
      </c>
      <c r="D132" s="85" t="s">
        <v>49</v>
      </c>
      <c r="E132" s="86">
        <v>200000.0</v>
      </c>
      <c r="G132" s="28" t="s">
        <v>49</v>
      </c>
      <c r="H132" s="86">
        <v>100000.0</v>
      </c>
      <c r="J132" s="85" t="s">
        <v>56</v>
      </c>
      <c r="K132" s="86">
        <v>200000.0</v>
      </c>
    </row>
    <row r="133">
      <c r="A133" s="33" t="s">
        <v>55</v>
      </c>
      <c r="B133" s="86">
        <v>100000.0</v>
      </c>
      <c r="D133" s="28" t="s">
        <v>58</v>
      </c>
      <c r="E133" s="86">
        <v>200000.0</v>
      </c>
      <c r="J133" s="85" t="s">
        <v>58</v>
      </c>
      <c r="K133" s="86">
        <v>200000.0</v>
      </c>
    </row>
    <row r="134">
      <c r="A134" s="85" t="s">
        <v>56</v>
      </c>
      <c r="B134" s="86">
        <v>200000.0</v>
      </c>
      <c r="D134" s="85" t="s">
        <v>63</v>
      </c>
      <c r="E134" s="86">
        <v>150000.0</v>
      </c>
      <c r="G134" s="79" t="s">
        <v>29</v>
      </c>
      <c r="H134" s="83">
        <v>4600000.0</v>
      </c>
      <c r="J134" s="85" t="s">
        <v>63</v>
      </c>
      <c r="K134" s="86">
        <v>150000.0</v>
      </c>
    </row>
    <row r="135">
      <c r="A135" s="85" t="s">
        <v>58</v>
      </c>
      <c r="B135" s="86">
        <v>200000.0</v>
      </c>
      <c r="D135" s="85" t="s">
        <v>72</v>
      </c>
      <c r="E135" s="86">
        <v>300000.0</v>
      </c>
      <c r="J135" s="85" t="s">
        <v>84</v>
      </c>
      <c r="K135" s="86">
        <v>200000.0</v>
      </c>
    </row>
    <row r="136">
      <c r="A136" s="85" t="s">
        <v>84</v>
      </c>
      <c r="B136" s="86">
        <v>200000.0</v>
      </c>
      <c r="D136" s="85" t="s">
        <v>84</v>
      </c>
      <c r="E136" s="86">
        <v>200000.0</v>
      </c>
      <c r="G136" s="79" t="s">
        <v>381</v>
      </c>
      <c r="H136" s="83">
        <f>H134-H131-H132</f>
        <v>4000000</v>
      </c>
      <c r="J136" s="85" t="s">
        <v>86</v>
      </c>
      <c r="K136" s="86">
        <v>300000.0</v>
      </c>
    </row>
    <row r="137">
      <c r="A137" s="85" t="s">
        <v>86</v>
      </c>
      <c r="B137" s="86">
        <v>300000.0</v>
      </c>
      <c r="D137" s="85" t="s">
        <v>86</v>
      </c>
      <c r="E137" s="86">
        <v>300000.0</v>
      </c>
      <c r="G137" s="79" t="s">
        <v>358</v>
      </c>
      <c r="H137" s="82">
        <f>E149</f>
        <v>7350004</v>
      </c>
      <c r="J137" s="85" t="s">
        <v>89</v>
      </c>
      <c r="K137" s="86">
        <v>50000.0</v>
      </c>
    </row>
    <row r="138">
      <c r="A138" s="85" t="s">
        <v>89</v>
      </c>
      <c r="B138" s="86">
        <v>50000.0</v>
      </c>
      <c r="D138" s="85" t="s">
        <v>103</v>
      </c>
      <c r="E138" s="86">
        <v>200000.0</v>
      </c>
      <c r="G138" s="79" t="s">
        <v>348</v>
      </c>
      <c r="H138" s="82">
        <f>H137-H136</f>
        <v>3350004</v>
      </c>
      <c r="J138" s="85" t="s">
        <v>103</v>
      </c>
      <c r="K138" s="86">
        <v>200000.0</v>
      </c>
    </row>
    <row r="139">
      <c r="A139" s="85" t="s">
        <v>103</v>
      </c>
      <c r="B139" s="86">
        <v>200000.0</v>
      </c>
      <c r="D139" s="85" t="s">
        <v>121</v>
      </c>
      <c r="E139" s="86">
        <v>300000.0</v>
      </c>
      <c r="J139" s="85" t="s">
        <v>121</v>
      </c>
      <c r="K139" s="86">
        <v>300000.0</v>
      </c>
    </row>
    <row r="140">
      <c r="A140" s="85" t="s">
        <v>104</v>
      </c>
      <c r="B140" s="86">
        <v>200000.0</v>
      </c>
      <c r="D140" s="79" t="s">
        <v>340</v>
      </c>
      <c r="E140" s="82">
        <f>SUM(E131:E139)</f>
        <v>1950000</v>
      </c>
      <c r="J140" s="79" t="s">
        <v>340</v>
      </c>
      <c r="K140" s="82">
        <f>SUM(K131:K139)</f>
        <v>1700000</v>
      </c>
    </row>
    <row r="141">
      <c r="A141" s="85" t="s">
        <v>121</v>
      </c>
      <c r="B141" s="86">
        <v>300000.0</v>
      </c>
    </row>
    <row r="142">
      <c r="A142" s="79" t="s">
        <v>340</v>
      </c>
      <c r="B142" s="82">
        <f>SUM(B131:B141)</f>
        <v>2050000</v>
      </c>
      <c r="D142" s="52" t="s">
        <v>341</v>
      </c>
      <c r="E142" s="50">
        <v>750000.0</v>
      </c>
      <c r="J142" s="52" t="s">
        <v>341</v>
      </c>
      <c r="K142" s="50">
        <v>750000.0</v>
      </c>
    </row>
    <row r="143">
      <c r="D143" s="52" t="s">
        <v>342</v>
      </c>
      <c r="E143" s="50">
        <v>950000.0</v>
      </c>
      <c r="J143" s="52" t="s">
        <v>342</v>
      </c>
      <c r="K143" s="50">
        <v>950000.0</v>
      </c>
    </row>
    <row r="144">
      <c r="A144" s="52" t="s">
        <v>341</v>
      </c>
      <c r="B144" s="50">
        <v>750000.0</v>
      </c>
      <c r="D144" s="52" t="s">
        <v>343</v>
      </c>
      <c r="E144" s="50">
        <v>750000.0</v>
      </c>
      <c r="J144" s="52" t="s">
        <v>343</v>
      </c>
      <c r="K144" s="50">
        <v>750000.0</v>
      </c>
    </row>
    <row r="145">
      <c r="A145" s="52" t="s">
        <v>342</v>
      </c>
      <c r="B145" s="50">
        <v>950000.0</v>
      </c>
      <c r="D145" s="79" t="s">
        <v>29</v>
      </c>
      <c r="E145" s="82">
        <f>SUM(E142:E144)</f>
        <v>2450000</v>
      </c>
      <c r="J145" s="79" t="s">
        <v>29</v>
      </c>
      <c r="K145" s="82">
        <f>SUM(K142:K144)</f>
        <v>2450000</v>
      </c>
    </row>
    <row r="146">
      <c r="A146" s="52" t="s">
        <v>343</v>
      </c>
      <c r="B146" s="50">
        <v>750000.0</v>
      </c>
    </row>
    <row r="147">
      <c r="A147" s="79" t="s">
        <v>29</v>
      </c>
      <c r="B147" s="82">
        <f>SUM(B144:B146)</f>
        <v>2450000</v>
      </c>
      <c r="D147" s="79" t="s">
        <v>382</v>
      </c>
      <c r="E147" s="82">
        <f>E140-E145</f>
        <v>-500000</v>
      </c>
      <c r="J147" s="79" t="s">
        <v>383</v>
      </c>
      <c r="K147" s="82">
        <f>K140-K145</f>
        <v>-750000</v>
      </c>
    </row>
    <row r="148">
      <c r="D148" s="79" t="s">
        <v>358</v>
      </c>
      <c r="E148" s="82">
        <f>B151</f>
        <v>7850004</v>
      </c>
      <c r="J148" s="79" t="s">
        <v>358</v>
      </c>
      <c r="K148" s="82">
        <f>H138</f>
        <v>3350004</v>
      </c>
    </row>
    <row r="149">
      <c r="A149" s="79" t="s">
        <v>384</v>
      </c>
      <c r="B149" s="82">
        <f>B142-B147</f>
        <v>-400000</v>
      </c>
      <c r="D149" s="79" t="s">
        <v>348</v>
      </c>
      <c r="E149" s="82">
        <f>E147+E148</f>
        <v>7350004</v>
      </c>
      <c r="J149" s="79" t="s">
        <v>348</v>
      </c>
      <c r="K149" s="82">
        <f>K147+K148</f>
        <v>2600004</v>
      </c>
    </row>
    <row r="150">
      <c r="A150" s="79" t="s">
        <v>358</v>
      </c>
      <c r="B150" s="82">
        <f>K120</f>
        <v>8250004</v>
      </c>
      <c r="J150" s="79"/>
    </row>
    <row r="151">
      <c r="A151" s="79" t="s">
        <v>348</v>
      </c>
      <c r="B151" s="82">
        <f>B149+B150</f>
        <v>7850004</v>
      </c>
      <c r="J151" s="79" t="s">
        <v>385</v>
      </c>
    </row>
    <row r="152">
      <c r="J152" s="79" t="s">
        <v>386</v>
      </c>
      <c r="K152" s="82">
        <f>H136</f>
        <v>4000000</v>
      </c>
    </row>
    <row r="153">
      <c r="J153" s="80" t="s">
        <v>44</v>
      </c>
      <c r="K153" s="87">
        <v>500000.0</v>
      </c>
    </row>
    <row r="154">
      <c r="J154" s="79" t="s">
        <v>387</v>
      </c>
      <c r="K154" s="82">
        <f>K152-K153</f>
        <v>3500000</v>
      </c>
    </row>
    <row r="156">
      <c r="J156" s="79" t="s">
        <v>388</v>
      </c>
      <c r="K156" s="82">
        <f>K149+K153</f>
        <v>3100004</v>
      </c>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2024-10-31T07:19:46Z</dcterms:created>
  <dc:creator>M Sumarlan Rachmat</dc:creator>
</cp:coreProperties>
</file>